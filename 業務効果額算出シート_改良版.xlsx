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基準値" sheetId="2" state="visible" r:id="rId2"/>
    <sheet xmlns:r="http://schemas.openxmlformats.org/officeDocument/2006/relationships" name="マスタ" sheetId="3" state="visible" r:id="rId3"/>
    <sheet xmlns:r="http://schemas.openxmlformats.org/officeDocument/2006/relationships" name="効果額記録" sheetId="4" state="visible" r:id="rId4"/>
    <sheet xmlns:r="http://schemas.openxmlformats.org/officeDocument/2006/relationships" name="運用部ファネル" sheetId="5" state="visible" r:id="rId5"/>
    <sheet xmlns:r="http://schemas.openxmlformats.org/officeDocument/2006/relationships" name="月次集計" sheetId="6" state="visible" r:id="rId6"/>
    <sheet xmlns:r="http://schemas.openxmlformats.org/officeDocument/2006/relationships" name="年間集計" sheetId="7" state="visible" r:id="rId7"/>
    <sheet xmlns:r="http://schemas.openxmlformats.org/officeDocument/2006/relationships" name="業務分類" sheetId="8" state="visible" r:id="rId8"/>
  </sheets>
  <definedNames>
    <definedName name="_xlnm._FilterDatabase" localSheetId="3" hidden="1">'効果額記録'!$A$4:$S$304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yyyy-mm-dd"/>
    <numFmt numFmtId="166" formatCode="yyyy/mm"/>
    <numFmt numFmtId="167" formatCode="yyyy/mm/dd"/>
    <numFmt numFmtId="168" formatCode="#,##0.0##"/>
    <numFmt numFmtId="169" formatCode="0.0"/>
    <numFmt numFmtId="170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595959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8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164" fontId="5" fillId="3" borderId="1" pivotButton="0" quotePrefix="0" xfId="0"/>
    <xf numFmtId="3" fontId="5" fillId="3" borderId="1" pivotButton="0" quotePrefix="0" xfId="0"/>
    <xf numFmtId="164" fontId="2" fillId="0" borderId="1" pivotButton="0" quotePrefix="0" xfId="0"/>
    <xf numFmtId="9" fontId="5" fillId="3" borderId="1" pivotButton="0" quotePrefix="0" xfId="0"/>
    <xf numFmtId="166" fontId="5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2" fillId="0" borderId="1" pivotButton="0" quotePrefix="0" xfId="0"/>
    <xf numFmtId="167" fontId="5" fillId="0" borderId="0" pivotButton="0" quotePrefix="0" xfId="0"/>
    <xf numFmtId="166" fontId="2" fillId="5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168" fontId="5" fillId="0" borderId="0" pivotButton="0" quotePrefix="0" xfId="0"/>
    <xf numFmtId="164" fontId="5" fillId="0" borderId="0" pivotButton="0" quotePrefix="0" xfId="0"/>
    <xf numFmtId="164" fontId="2" fillId="5" borderId="0" pivotButton="0" quotePrefix="0" xfId="0"/>
    <xf numFmtId="9" fontId="2" fillId="5" borderId="0" pivotButton="0" quotePrefix="0" xfId="0"/>
    <xf numFmtId="164" fontId="7" fillId="0" borderId="0" pivotButton="0" quotePrefix="0" xfId="0"/>
    <xf numFmtId="166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9" fontId="2" fillId="5" borderId="1" pivotButton="0" quotePrefix="0" xfId="0"/>
    <xf numFmtId="170" fontId="2" fillId="5" borderId="1" pivotButton="0" quotePrefix="0" xfId="0"/>
    <xf numFmtId="164" fontId="2" fillId="5" borderId="1" pivotButton="0" quotePrefix="0" xfId="0"/>
    <xf numFmtId="0" fontId="3" fillId="0" borderId="0" pivotButton="0" quotePrefix="0" xfId="0"/>
    <xf numFmtId="0" fontId="7" fillId="0" borderId="1" pivotButton="0" quotePrefix="0" xfId="0"/>
    <xf numFmtId="0" fontId="3" fillId="2" borderId="1" pivotButton="0" quotePrefix="0" xfId="0"/>
    <xf numFmtId="164" fontId="3" fillId="2" borderId="1" pivotButton="0" quotePrefix="0" xfId="0"/>
    <xf numFmtId="166" fontId="6" fillId="4" borderId="1" applyAlignment="1" pivotButton="0" quotePrefix="0" xfId="0">
      <alignment horizontal="center" vertical="center" wrapText="1"/>
    </xf>
    <xf numFmtId="164" fontId="7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</font>
      <fill>
        <patternFill patternType="solid">
          <fgColor rgb="00F8CBAD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0" customWidth="1" min="3" max="3"/>
  </cols>
  <sheetData>
    <row r="1">
      <c r="A1" s="1" t="n"/>
      <c r="B1" s="1" t="n"/>
      <c r="C1" s="1" t="n"/>
    </row>
    <row r="2">
      <c r="A2" s="1" t="n"/>
      <c r="B2" s="2" t="inlineStr">
        <is>
          <t>業務効果額 算出シート</t>
        </is>
      </c>
      <c r="C2" s="1" t="n"/>
    </row>
    <row r="3">
      <c r="A3" s="1" t="n"/>
      <c r="B3" s="3" t="inlineStr">
        <is>
          <t>間接部門(運用部・営業事務・総務)の業務が会社の利益にどれだけ効いたかを金額で見える化する</t>
        </is>
      </c>
      <c r="C3" s="1" t="n"/>
    </row>
    <row r="4">
      <c r="A4" s="1" t="n"/>
      <c r="B4" s="1" t="n"/>
      <c r="C4" s="1" t="n"/>
    </row>
    <row r="5">
      <c r="A5" s="1" t="n"/>
      <c r="B5" s="1" t="n"/>
      <c r="C5" s="1" t="n"/>
    </row>
    <row r="6">
      <c r="A6" s="1" t="n"/>
      <c r="B6" s="4" t="inlineStr">
        <is>
          <t>シート構成</t>
        </is>
      </c>
      <c r="C6" s="5" t="n"/>
    </row>
    <row r="7">
      <c r="A7" s="1" t="n"/>
      <c r="B7" s="6" t="inlineStr">
        <is>
          <t>基準値</t>
        </is>
      </c>
      <c r="C7" s="7" t="inlineStr">
        <is>
          <t>応募1件の価値、営業の時間あたり粗利、時間単価、補正ルール、年間集計の開始月を設定する(黄色セルを自社の実数に変更)</t>
        </is>
      </c>
    </row>
    <row r="8">
      <c r="A8" s="1" t="n"/>
      <c r="B8" s="6" t="inlineStr">
        <is>
          <t>効果額記録</t>
        </is>
      </c>
      <c r="C8" s="7" t="inlineStr">
        <is>
          <t>改善・成果を1件ずつ記録する。青字が入力、黒字は自動計算。部署・担当者・効果種別・区分・承認状況はプルダウンで選ぶ</t>
        </is>
      </c>
    </row>
    <row r="9">
      <c r="A9" s="1" t="n"/>
      <c r="B9" s="6" t="inlineStr">
        <is>
          <t>マスタ</t>
        </is>
      </c>
      <c r="C9" s="7" t="inlineStr">
        <is>
          <t>プルダウンの選択肢(部署・担当者・効果種別・区分・承認状況)。人や部署が増えたらここに追記する</t>
        </is>
      </c>
    </row>
    <row r="10">
      <c r="A10" s="1" t="n"/>
      <c r="B10" s="6" t="inlineStr">
        <is>
          <t>運用部ファネル</t>
        </is>
      </c>
      <c r="C10" s="7" t="inlineStr">
        <is>
          <t>求人掲載→応募→面談→成約の月次実績。応募単価と応募1件の粗利を出し、基準値の検証に使う</t>
        </is>
      </c>
    </row>
    <row r="11">
      <c r="A11" s="1" t="n"/>
      <c r="B11" s="6" t="inlineStr">
        <is>
          <t>月次集計</t>
        </is>
      </c>
      <c r="C11" s="7" t="inlineStr">
        <is>
          <t>対象月を入れると、承認済の記録を部署別・効果種別・担当者別に集計し、インセンティブ原資を出す</t>
        </is>
      </c>
    </row>
    <row r="12">
      <c r="A12" s="1" t="n"/>
      <c r="B12" s="6" t="inlineStr">
        <is>
          <t>年間集計</t>
        </is>
      </c>
      <c r="C12" s="7" t="inlineStr">
        <is>
          <t>部署別の補正後効果額を12か月並べて表示する</t>
        </is>
      </c>
    </row>
    <row r="13">
      <c r="A13" s="1" t="n"/>
      <c r="B13" s="6" t="inlineStr">
        <is>
          <t>業務分類</t>
        </is>
      </c>
      <c r="C13" s="7" t="inlineStr">
        <is>
          <t>効果額の4分類と、部署別の測り方の例</t>
        </is>
      </c>
    </row>
    <row r="14">
      <c r="A14" s="1" t="n"/>
      <c r="B14" s="1" t="n"/>
      <c r="C14" s="1" t="n"/>
    </row>
    <row r="15">
      <c r="A15" s="1" t="n"/>
      <c r="B15" s="4" t="inlineStr">
        <is>
          <t>効果額の4分類と入力のしかた</t>
        </is>
      </c>
      <c r="C15" s="5" t="n"/>
    </row>
    <row r="16">
      <c r="A16" s="1" t="n"/>
      <c r="B16" s="6" t="inlineStr">
        <is>
          <t>①収益貢献</t>
        </is>
      </c>
      <c r="C16" s="7" t="inlineStr">
        <is>
          <t>改善前=前の件数 / 改善後=後の件数 / 回数=1(または期間数) / 単価=1件の粗利(基準値の応募1件の価値など)</t>
        </is>
      </c>
    </row>
    <row r="17">
      <c r="A17" s="1" t="n"/>
      <c r="B17" s="6" t="inlineStr">
        <is>
          <t>②コスト削減</t>
        </is>
      </c>
      <c r="C17" s="7" t="inlineStr">
        <is>
          <t>改善前=前の費用 / 改善後=後の費用 / 回数=月数など / 単価=1</t>
        </is>
      </c>
    </row>
    <row r="18">
      <c r="A18" s="1" t="n"/>
      <c r="B18" s="6" t="inlineStr">
        <is>
          <t>③時間創出</t>
        </is>
      </c>
      <c r="C18" s="7" t="inlineStr">
        <is>
          <t>改善前=前の所要時間(h) / 改善後=後の所要時間(h) / 回数=月の実施回数 / 単価=時間単価(浮いた時間が営業に回るなら営業の時間あたり粗利)</t>
        </is>
      </c>
    </row>
    <row r="19">
      <c r="A19" s="1" t="n"/>
      <c r="B19" s="6" t="inlineStr">
        <is>
          <t>④リスク回避</t>
        </is>
      </c>
      <c r="C19" s="7" t="inlineStr">
        <is>
          <t>改善前=発生確率(前) / 改善後=発生確率(後) / 回数=想定損失額 / 単価=1</t>
        </is>
      </c>
    </row>
    <row r="20">
      <c r="A20" s="1" t="n"/>
      <c r="B20" s="1" t="n"/>
      <c r="C20" s="1" t="n"/>
    </row>
    <row r="21">
      <c r="A21" s="1" t="n"/>
      <c r="B21" s="4" t="inlineStr">
        <is>
          <t>補正ルール(給与と連動させるための安全策)</t>
        </is>
      </c>
      <c r="C21" s="5" t="n"/>
    </row>
    <row r="22">
      <c r="A22" s="1" t="n"/>
      <c r="B22" s="6" t="inlineStr">
        <is>
          <t>貢献度係数</t>
        </is>
      </c>
      <c r="C22" s="7" t="inlineStr">
        <is>
          <t>他部署や外部要因の影響を考えて、計算額に掛ける係数(初期値50%)</t>
        </is>
      </c>
    </row>
    <row r="23">
      <c r="A23" s="1" t="n"/>
      <c r="B23" s="6" t="inlineStr">
        <is>
          <t>実現係数</t>
        </is>
      </c>
      <c r="C23" s="7" t="inlineStr">
        <is>
          <t>区分が「削減時間のみ」のときに掛ける係数。浮いた時間が実際に使われたら区分を「実現済」に変える(係数100%)</t>
        </is>
      </c>
    </row>
    <row r="24">
      <c r="A24" s="1" t="n"/>
      <c r="B24" s="6" t="inlineStr">
        <is>
          <t>上限</t>
        </is>
      </c>
      <c r="C24" s="7" t="inlineStr">
        <is>
          <t>1件あたりの効果額の上限。上限で切った行は効果額記録で橙色になる</t>
        </is>
      </c>
    </row>
    <row r="25">
      <c r="A25" s="1" t="n"/>
      <c r="B25" s="6" t="inlineStr">
        <is>
          <t>インセンティブ率</t>
        </is>
      </c>
      <c r="C25" s="7" t="inlineStr">
        <is>
          <t>補正後効果額のうち報酬原資にする割合。業務委託は時給への加算として運用する</t>
        </is>
      </c>
    </row>
    <row r="26">
      <c r="A26" s="1" t="n"/>
      <c r="B26" s="6" t="inlineStr">
        <is>
          <t>承認</t>
        </is>
      </c>
      <c r="C26" s="7" t="inlineStr">
        <is>
          <t>月次集計・年間集計に入るのは承認状況が「承認済」の行だけ。未承認の件数は月次集計の上部に出る</t>
        </is>
      </c>
    </row>
    <row r="27">
      <c r="A27" s="1" t="n"/>
      <c r="B27" s="1" t="n"/>
      <c r="C27" s="1" t="n"/>
    </row>
    <row r="28">
      <c r="A28" s="1" t="n"/>
      <c r="B28" s="4" t="inlineStr">
        <is>
          <t>ルール</t>
        </is>
      </c>
      <c r="C28" s="5" t="n"/>
    </row>
    <row r="29">
      <c r="A29" s="1" t="n"/>
      <c r="B29" s="6" t="inlineStr">
        <is>
          <t>ベースライン</t>
        </is>
      </c>
      <c r="C29" s="7" t="inlineStr">
        <is>
          <t>改善前の数字は事前に記録し、後から変えない</t>
        </is>
      </c>
    </row>
    <row r="30">
      <c r="A30" s="1" t="n"/>
      <c r="B30" s="6" t="inlineStr">
        <is>
          <t>根拠</t>
        </is>
      </c>
      <c r="C30" s="7" t="inlineStr">
        <is>
          <t>根拠資料がない効果は計上しない。根拠・資料の列に出典を書く</t>
        </is>
      </c>
    </row>
    <row r="31">
      <c r="A31" s="1" t="n"/>
      <c r="B31" s="1" t="n"/>
      <c r="C31" s="1" t="n"/>
    </row>
    <row r="32">
      <c r="A32" s="1" t="n"/>
      <c r="B32" s="4" t="inlineStr">
        <is>
          <t>注意</t>
        </is>
      </c>
      <c r="C32" s="5" t="n"/>
    </row>
    <row r="33">
      <c r="A33" s="1" t="n"/>
      <c r="B33" s="6" t="inlineStr">
        <is>
          <t>仮の値</t>
        </is>
      </c>
      <c r="C33" s="7" t="inlineStr">
        <is>
          <t>基準値シートの数字、効果額記録の例3行、運用部ファネルの数字は仮の値。自社の実績に差し替える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52" customWidth="1" min="4" max="4"/>
  </cols>
  <sheetData>
    <row r="1">
      <c r="A1" s="1" t="n"/>
      <c r="B1" s="1" t="n"/>
      <c r="C1" s="1" t="n"/>
      <c r="D1" s="1" t="n"/>
    </row>
    <row r="2">
      <c r="A2" s="1" t="n"/>
      <c r="B2" s="2" t="inlineStr">
        <is>
          <t>基準値</t>
        </is>
      </c>
      <c r="C2" s="1" t="n"/>
      <c r="D2" s="1" t="n"/>
    </row>
    <row r="3">
      <c r="A3" s="1" t="n"/>
      <c r="B3" s="8" t="inlineStr">
        <is>
          <t>黄色セル(青字)が入力欄。数字は仮の値なので自社の実績に差し替える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" t="inlineStr">
        <is>
          <t>① 応募1件の価値(運用部の効果額に使う)</t>
        </is>
      </c>
      <c r="C5" s="5" t="n"/>
      <c r="D5" s="5" t="n"/>
    </row>
    <row r="6">
      <c r="A6" s="1" t="n"/>
      <c r="B6" s="3" t="inlineStr">
        <is>
          <t>直近の粗利総額(月・円)</t>
        </is>
      </c>
      <c r="C6" s="9" t="n">
        <v>6000000</v>
      </c>
      <c r="D6" s="8" t="inlineStr">
        <is>
          <t>営業部の成約による粗利。仮の値</t>
        </is>
      </c>
    </row>
    <row r="7">
      <c r="A7" s="1" t="n"/>
      <c r="B7" s="3" t="inlineStr">
        <is>
          <t>同期間の応募総数(件)</t>
        </is>
      </c>
      <c r="C7" s="10" t="n">
        <v>2000</v>
      </c>
      <c r="D7" s="8" t="inlineStr">
        <is>
          <t>仮の値</t>
        </is>
      </c>
    </row>
    <row r="8">
      <c r="A8" s="1" t="n"/>
      <c r="B8" s="3" t="inlineStr">
        <is>
          <t>応募1件の価値(円)</t>
        </is>
      </c>
      <c r="C8" s="11">
        <f>IF(C7=0,0,C6/C7)</f>
        <v/>
      </c>
      <c r="D8" s="8" t="inlineStr">
        <is>
          <t>粗利総額 ÷ 応募総数</t>
        </is>
      </c>
    </row>
    <row r="9">
      <c r="A9" s="1" t="n"/>
      <c r="B9" s="1" t="n"/>
      <c r="C9" s="1" t="n"/>
      <c r="D9" s="1" t="n"/>
    </row>
    <row r="10">
      <c r="A10" s="1" t="n"/>
      <c r="B10" s="4" t="inlineStr">
        <is>
          <t>② 営業の時間あたり粗利(営業事務が営業の時間を確保した価値に使う)</t>
        </is>
      </c>
      <c r="C10" s="5" t="n"/>
      <c r="D10" s="5" t="n"/>
    </row>
    <row r="11">
      <c r="A11" s="1" t="n"/>
      <c r="B11" s="3" t="inlineStr">
        <is>
          <t>営業部の月間粗利(円)</t>
        </is>
      </c>
      <c r="C11" s="9" t="n">
        <v>6000000</v>
      </c>
      <c r="D11" s="8" t="inlineStr">
        <is>
          <t>仮の値</t>
        </is>
      </c>
    </row>
    <row r="12">
      <c r="A12" s="1" t="n"/>
      <c r="B12" s="3" t="inlineStr">
        <is>
          <t>営業部の月間稼働時間(h)</t>
        </is>
      </c>
      <c r="C12" s="10" t="n">
        <v>1200</v>
      </c>
      <c r="D12" s="8" t="inlineStr">
        <is>
          <t>架電・応募者対応にあてた時間。仮の値</t>
        </is>
      </c>
    </row>
    <row r="13">
      <c r="A13" s="1" t="n"/>
      <c r="B13" s="3" t="inlineStr">
        <is>
          <t>営業の時間あたり粗利(円/h)</t>
        </is>
      </c>
      <c r="C13" s="11">
        <f>IF(C12=0,0,C11/C12)</f>
        <v/>
      </c>
      <c r="D13" s="8" t="inlineStr">
        <is>
          <t>月間粗利 ÷ 稼働時間</t>
        </is>
      </c>
    </row>
    <row r="14">
      <c r="A14" s="1" t="n"/>
      <c r="B14" s="1" t="n"/>
      <c r="C14" s="1" t="n"/>
      <c r="D14" s="1" t="n"/>
    </row>
    <row r="15">
      <c r="A15" s="1" t="n"/>
      <c r="B15" s="4" t="inlineStr">
        <is>
          <t>③ 時間単価(時間創出の換算に使う)</t>
        </is>
      </c>
      <c r="C15" s="5" t="n"/>
      <c r="D15" s="5" t="n"/>
    </row>
    <row r="16">
      <c r="A16" s="1" t="n"/>
      <c r="B16" s="3" t="inlineStr">
        <is>
          <t>業務委託の時給(円)</t>
        </is>
      </c>
      <c r="C16" s="9" t="n">
        <v>1200</v>
      </c>
      <c r="D16" s="8" t="inlineStr">
        <is>
          <t>仮の値</t>
        </is>
      </c>
    </row>
    <row r="17">
      <c r="A17" s="1" t="n"/>
      <c r="B17" s="3" t="inlineStr">
        <is>
          <t>正社員の月給(会社負担総額・円)</t>
        </is>
      </c>
      <c r="C17" s="9" t="n">
        <v>400000</v>
      </c>
      <c r="D17" s="8" t="inlineStr">
        <is>
          <t>給与+社会保険料など。仮の値</t>
        </is>
      </c>
    </row>
    <row r="18">
      <c r="A18" s="1" t="n"/>
      <c r="B18" s="3" t="inlineStr">
        <is>
          <t>正社員の月間稼働時間(h)</t>
        </is>
      </c>
      <c r="C18" s="10" t="n">
        <v>160</v>
      </c>
      <c r="D18" s="8" t="inlineStr">
        <is>
          <t>仮の値</t>
        </is>
      </c>
    </row>
    <row r="19">
      <c r="A19" s="1" t="n"/>
      <c r="B19" s="3" t="inlineStr">
        <is>
          <t>正社員の時間単価(円/h)</t>
        </is>
      </c>
      <c r="C19" s="11">
        <f>IF(C18=0,0,C17/C18)</f>
        <v/>
      </c>
      <c r="D19" s="8" t="inlineStr">
        <is>
          <t>月給 ÷ 稼働時間</t>
        </is>
      </c>
    </row>
    <row r="20">
      <c r="A20" s="1" t="n"/>
      <c r="B20" s="1" t="n"/>
      <c r="C20" s="1" t="n"/>
      <c r="D20" s="1" t="n"/>
    </row>
    <row r="21">
      <c r="A21" s="1" t="n"/>
      <c r="B21" s="4" t="inlineStr">
        <is>
          <t>④ 補正ルール</t>
        </is>
      </c>
      <c r="C21" s="5" t="n"/>
      <c r="D21" s="5" t="n"/>
    </row>
    <row r="22">
      <c r="A22" s="1" t="n"/>
      <c r="B22" s="3" t="inlineStr">
        <is>
          <t>貢献度係数</t>
        </is>
      </c>
      <c r="C22" s="12" t="n">
        <v>0.5</v>
      </c>
      <c r="D22" s="8" t="inlineStr">
        <is>
          <t>他の要因を差し引いた貢献の割合</t>
        </is>
      </c>
    </row>
    <row r="23">
      <c r="A23" s="1" t="n"/>
      <c r="B23" s="3" t="inlineStr">
        <is>
          <t>実現係数(削減時間のみの場合)</t>
        </is>
      </c>
      <c r="C23" s="12" t="n">
        <v>0.5</v>
      </c>
      <c r="D23" s="8" t="inlineStr">
        <is>
          <t>浮いた時間の使い道が確認できていない場合に掛ける</t>
        </is>
      </c>
    </row>
    <row r="24">
      <c r="A24" s="1" t="n"/>
      <c r="B24" s="3" t="inlineStr">
        <is>
          <t>1件あたり効果額の上限(円)</t>
        </is>
      </c>
      <c r="C24" s="9" t="n">
        <v>500000</v>
      </c>
      <c r="D24" s="8" t="inlineStr">
        <is>
          <t>水増し防止</t>
        </is>
      </c>
    </row>
    <row r="25">
      <c r="A25" s="1" t="n"/>
      <c r="B25" s="3" t="inlineStr">
        <is>
          <t>インセンティブ率</t>
        </is>
      </c>
      <c r="C25" s="12" t="n">
        <v>0.15</v>
      </c>
      <c r="D25" s="8" t="inlineStr">
        <is>
          <t>補正後効果額のうち報酬原資にする割合</t>
        </is>
      </c>
    </row>
    <row r="26">
      <c r="A26" s="1" t="n"/>
      <c r="B26" s="1" t="n"/>
      <c r="C26" s="1" t="n"/>
      <c r="D26" s="1" t="n"/>
    </row>
    <row r="27">
      <c r="A27" s="1" t="n"/>
      <c r="B27" s="4" t="inlineStr">
        <is>
          <t>⑤ 集計の設定</t>
        </is>
      </c>
      <c r="C27" s="5" t="n"/>
      <c r="D27" s="5" t="n"/>
    </row>
    <row r="28">
      <c r="A28" s="1" t="n"/>
      <c r="B28" s="3" t="inlineStr">
        <is>
          <t>年間集計の開始月</t>
        </is>
      </c>
      <c r="C28" s="13" t="n">
        <v>46113</v>
      </c>
      <c r="D28" s="8" t="inlineStr">
        <is>
          <t>期首の月の1日を入れる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" customWidth="1" min="3" max="3"/>
    <col width="14" customWidth="1" min="4" max="4"/>
    <col width="14" customWidth="1" min="5" max="5"/>
    <col width="3" customWidth="1" min="6" max="6"/>
    <col width="14" customWidth="1" min="7" max="7"/>
    <col width="3" customWidth="1" min="8" max="8"/>
    <col width="14" customWidth="1" min="9" max="9"/>
    <col width="3" customWidth="1" min="10" max="10"/>
    <col width="12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マスタ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8" t="inlineStr">
        <is>
          <t>プルダウンの選択肢。青字の欄に追記・修正する(部署は10件、担当者は30件まで)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4" t="inlineStr">
        <is>
          <t>部署</t>
        </is>
      </c>
      <c r="C4" s="1" t="n"/>
      <c r="D4" s="14" t="inlineStr">
        <is>
          <t>担当者</t>
        </is>
      </c>
      <c r="E4" s="14" t="inlineStr">
        <is>
          <t>所属部署</t>
        </is>
      </c>
      <c r="F4" s="1" t="n"/>
      <c r="G4" s="14" t="inlineStr">
        <is>
          <t>効果種別</t>
        </is>
      </c>
      <c r="H4" s="1" t="n"/>
      <c r="I4" s="14" t="inlineStr">
        <is>
          <t>区分</t>
        </is>
      </c>
      <c r="J4" s="1" t="n"/>
      <c r="K4" s="14" t="inlineStr">
        <is>
          <t>承認状況</t>
        </is>
      </c>
    </row>
    <row r="5">
      <c r="A5" s="1" t="n"/>
      <c r="B5" s="15" t="inlineStr">
        <is>
          <t>運用部</t>
        </is>
      </c>
      <c r="C5" s="1" t="n"/>
      <c r="D5" s="15" t="inlineStr">
        <is>
          <t>田中</t>
        </is>
      </c>
      <c r="E5" s="15" t="inlineStr">
        <is>
          <t>運用部</t>
        </is>
      </c>
      <c r="F5" s="1" t="n"/>
      <c r="G5" s="16" t="inlineStr">
        <is>
          <t>①収益貢献</t>
        </is>
      </c>
      <c r="H5" s="1" t="n"/>
      <c r="I5" s="16" t="inlineStr">
        <is>
          <t>実現済</t>
        </is>
      </c>
      <c r="J5" s="1" t="n"/>
      <c r="K5" s="16" t="inlineStr">
        <is>
          <t>未承認</t>
        </is>
      </c>
    </row>
    <row r="6">
      <c r="A6" s="1" t="n"/>
      <c r="B6" s="15" t="inlineStr">
        <is>
          <t>営業事務</t>
        </is>
      </c>
      <c r="C6" s="1" t="n"/>
      <c r="D6" s="15" t="inlineStr">
        <is>
          <t>佐藤</t>
        </is>
      </c>
      <c r="E6" s="15" t="inlineStr">
        <is>
          <t>営業事務</t>
        </is>
      </c>
      <c r="F6" s="1" t="n"/>
      <c r="G6" s="16" t="inlineStr">
        <is>
          <t>②コスト削減</t>
        </is>
      </c>
      <c r="H6" s="1" t="n"/>
      <c r="I6" s="16" t="inlineStr">
        <is>
          <t>削減時間のみ</t>
        </is>
      </c>
      <c r="J6" s="1" t="n"/>
      <c r="K6" s="16" t="inlineStr">
        <is>
          <t>承認済</t>
        </is>
      </c>
    </row>
    <row r="7">
      <c r="A7" s="1" t="n"/>
      <c r="B7" s="15" t="inlineStr">
        <is>
          <t>総務</t>
        </is>
      </c>
      <c r="C7" s="1" t="n"/>
      <c r="D7" s="15" t="inlineStr">
        <is>
          <t>鈴木</t>
        </is>
      </c>
      <c r="E7" s="15" t="inlineStr">
        <is>
          <t>総務</t>
        </is>
      </c>
      <c r="F7" s="1" t="n"/>
      <c r="G7" s="16" t="inlineStr">
        <is>
          <t>③時間創出</t>
        </is>
      </c>
      <c r="H7" s="1" t="n"/>
      <c r="I7" s="1" t="n"/>
      <c r="J7" s="1" t="n"/>
      <c r="K7" s="16" t="inlineStr">
        <is>
          <t>差戻し</t>
        </is>
      </c>
    </row>
    <row r="8">
      <c r="A8" s="1" t="n"/>
      <c r="B8" s="15" t="inlineStr">
        <is>
          <t>営業部</t>
        </is>
      </c>
      <c r="C8" s="1" t="n"/>
      <c r="D8" s="15" t="n"/>
      <c r="E8" s="15" t="n"/>
      <c r="F8" s="1" t="n"/>
      <c r="G8" s="16" t="inlineStr">
        <is>
          <t>④リスク回避</t>
        </is>
      </c>
      <c r="H8" s="1" t="n"/>
      <c r="I8" s="1" t="n"/>
      <c r="J8" s="1" t="n"/>
      <c r="K8" s="1" t="n"/>
    </row>
    <row r="9">
      <c r="A9" s="1" t="n"/>
      <c r="B9" s="15" t="n"/>
      <c r="C9" s="1" t="n"/>
      <c r="D9" s="15" t="n"/>
      <c r="E9" s="15" t="n"/>
      <c r="F9" s="1" t="n"/>
      <c r="G9" s="1" t="n"/>
      <c r="H9" s="1" t="n"/>
      <c r="I9" s="1" t="n"/>
      <c r="J9" s="1" t="n"/>
      <c r="K9" s="1" t="n"/>
    </row>
    <row r="10">
      <c r="A10" s="1" t="n"/>
      <c r="B10" s="15" t="n"/>
      <c r="C10" s="1" t="n"/>
      <c r="D10" s="15" t="n"/>
      <c r="E10" s="15" t="n"/>
      <c r="F10" s="1" t="n"/>
      <c r="G10" s="1" t="n"/>
      <c r="H10" s="1" t="n"/>
      <c r="I10" s="1" t="n"/>
      <c r="J10" s="1" t="n"/>
      <c r="K10" s="1" t="n"/>
    </row>
    <row r="11">
      <c r="A11" s="1" t="n"/>
      <c r="B11" s="15" t="n"/>
      <c r="C11" s="1" t="n"/>
      <c r="D11" s="15" t="n"/>
      <c r="E11" s="15" t="n"/>
      <c r="F11" s="1" t="n"/>
      <c r="G11" s="1" t="n"/>
      <c r="H11" s="1" t="n"/>
      <c r="I11" s="1" t="n"/>
      <c r="J11" s="1" t="n"/>
      <c r="K11" s="1" t="n"/>
    </row>
    <row r="12">
      <c r="A12" s="1" t="n"/>
      <c r="B12" s="15" t="n"/>
      <c r="C12" s="1" t="n"/>
      <c r="D12" s="15" t="n"/>
      <c r="E12" s="15" t="n"/>
      <c r="F12" s="1" t="n"/>
      <c r="G12" s="1" t="n"/>
      <c r="H12" s="1" t="n"/>
      <c r="I12" s="1" t="n"/>
      <c r="J12" s="1" t="n"/>
      <c r="K12" s="1" t="n"/>
    </row>
    <row r="13">
      <c r="A13" s="1" t="n"/>
      <c r="B13" s="15" t="n"/>
      <c r="C13" s="1" t="n"/>
      <c r="D13" s="15" t="n"/>
      <c r="E13" s="15" t="n"/>
      <c r="F13" s="1" t="n"/>
      <c r="G13" s="1" t="n"/>
      <c r="H13" s="1" t="n"/>
      <c r="I13" s="1" t="n"/>
      <c r="J13" s="1" t="n"/>
      <c r="K13" s="1" t="n"/>
    </row>
    <row r="14">
      <c r="A14" s="1" t="n"/>
      <c r="B14" s="15" t="n"/>
      <c r="C14" s="1" t="n"/>
      <c r="D14" s="15" t="n"/>
      <c r="E14" s="15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5" t="n"/>
      <c r="E15" s="15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5" t="n"/>
      <c r="E16" s="15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5" t="n"/>
      <c r="E17" s="15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5" t="n"/>
      <c r="E18" s="15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5" t="n"/>
      <c r="E19" s="15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5" t="n"/>
      <c r="E20" s="15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5" t="n"/>
      <c r="E21" s="15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5" t="n"/>
      <c r="E22" s="15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5" t="n"/>
      <c r="E23" s="15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5" t="n"/>
      <c r="E24" s="15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5" t="n"/>
      <c r="E25" s="15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5" t="n"/>
      <c r="E26" s="15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5" t="n"/>
      <c r="E27" s="15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5" t="n"/>
      <c r="E28" s="15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5" t="n"/>
      <c r="E29" s="15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5" t="n"/>
      <c r="E30" s="15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5" t="n"/>
      <c r="E31" s="15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5" t="n"/>
      <c r="E32" s="15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5" t="n"/>
      <c r="E33" s="15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5" t="n"/>
      <c r="E34" s="15" t="n"/>
      <c r="F34" s="1" t="n"/>
      <c r="G34" s="1" t="n"/>
      <c r="H34" s="1" t="n"/>
      <c r="I34" s="1" t="n"/>
      <c r="J34" s="1" t="n"/>
      <c r="K34" s="1" t="n"/>
    </row>
  </sheetData>
  <dataValidations count="1">
    <dataValidation sqref="E5:E34" showDropDown="0" showInputMessage="0" showErrorMessage="0" allowBlank="1" type="list">
      <formula1>=$B$5:$B$14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style="17" min="1" max="1"/>
    <col width="9" customWidth="1" style="18" min="2" max="2"/>
    <col width="10" customWidth="1" style="19" min="3" max="3"/>
    <col width="9" customWidth="1" style="19" min="4" max="4"/>
    <col width="30" customWidth="1" style="20" min="5" max="5"/>
    <col width="12" customWidth="1" style="19" min="6" max="6"/>
    <col width="12" customWidth="1" style="19" min="7" max="7"/>
    <col width="9" customWidth="1" style="21" min="8" max="8"/>
    <col width="9" customWidth="1" style="21" min="9" max="9"/>
    <col width="7" customWidth="1" style="21" min="10" max="10"/>
    <col width="10" customWidth="1" style="22" min="11" max="11"/>
    <col width="12" customWidth="1" style="23" min="12" max="12"/>
    <col width="9" customWidth="1" style="24" min="13" max="13"/>
    <col width="9" customWidth="1" style="24" min="14" max="14"/>
    <col width="13" customWidth="1" style="23" min="15" max="15"/>
    <col width="13" customWidth="1" style="23" min="16" max="16"/>
    <col width="9" customWidth="1" style="19" min="17" max="17"/>
    <col width="9" customWidth="1" style="19" min="18" max="18"/>
    <col width="30" customWidth="1" style="20" min="19" max="19"/>
  </cols>
  <sheetData>
    <row r="1">
      <c r="A1" s="2" t="inlineStr">
        <is>
          <t>効果額記録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8" t="inlineStr">
        <is>
          <t>青字=入力 / 黒字=自動計算。最初の3行は記入例(仮の値)。集計に入るのは承認状況が「承認済」の行だけ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32" customHeight="1">
      <c r="A4" s="14" t="inlineStr">
        <is>
          <t>日付</t>
        </is>
      </c>
      <c r="B4" s="14" t="inlineStr">
        <is>
          <t>対象月</t>
        </is>
      </c>
      <c r="C4" s="14" t="inlineStr">
        <is>
          <t>部署</t>
        </is>
      </c>
      <c r="D4" s="14" t="inlineStr">
        <is>
          <t>担当者</t>
        </is>
      </c>
      <c r="E4" s="14" t="inlineStr">
        <is>
          <t>業務・改善内容</t>
        </is>
      </c>
      <c r="F4" s="14" t="inlineStr">
        <is>
          <t>効果種別</t>
        </is>
      </c>
      <c r="G4" s="14" t="inlineStr">
        <is>
          <t>区分</t>
        </is>
      </c>
      <c r="H4" s="14" t="inlineStr">
        <is>
          <t>改善前</t>
        </is>
      </c>
      <c r="I4" s="14" t="inlineStr">
        <is>
          <t>改善後</t>
        </is>
      </c>
      <c r="J4" s="14" t="inlineStr">
        <is>
          <t>回数</t>
        </is>
      </c>
      <c r="K4" s="14" t="inlineStr">
        <is>
          <t>単価(円)</t>
        </is>
      </c>
      <c r="L4" s="14" t="inlineStr">
        <is>
          <t>計算効果額(円)</t>
        </is>
      </c>
      <c r="M4" s="14" t="inlineStr">
        <is>
          <t>貢献度係数</t>
        </is>
      </c>
      <c r="N4" s="14" t="inlineStr">
        <is>
          <t>実現係数</t>
        </is>
      </c>
      <c r="O4" s="14" t="inlineStr">
        <is>
          <t>補正額・上限前(円)</t>
        </is>
      </c>
      <c r="P4" s="14" t="inlineStr">
        <is>
          <t>補正後効果額(円)</t>
        </is>
      </c>
      <c r="Q4" s="14" t="inlineStr">
        <is>
          <t>承認状況</t>
        </is>
      </c>
      <c r="R4" s="14" t="inlineStr">
        <is>
          <t>承認者</t>
        </is>
      </c>
      <c r="S4" s="14" t="inlineStr">
        <is>
          <t>根拠・資料</t>
        </is>
      </c>
    </row>
    <row r="5">
      <c r="A5" s="17" t="n">
        <v>46297</v>
      </c>
      <c r="B5" s="18">
        <f t="array" ref="B5:B304">IF(A5:A304="","",DATE(YEAR(A5:A304),MONTH(A5:A304),1))</f>
        <v/>
      </c>
      <c r="C5" s="19" t="inlineStr">
        <is>
          <t>運用部</t>
        </is>
      </c>
      <c r="D5" s="19" t="inlineStr">
        <is>
          <t>田中</t>
        </is>
      </c>
      <c r="E5" s="20" t="inlineStr">
        <is>
          <t>求人原稿の改善で応募数が増加</t>
        </is>
      </c>
      <c r="F5" s="19" t="inlineStr">
        <is>
          <t>①収益貢献</t>
        </is>
      </c>
      <c r="G5" s="19" t="inlineStr">
        <is>
          <t>実現済</t>
        </is>
      </c>
      <c r="H5" s="21" t="n">
        <v>400</v>
      </c>
      <c r="I5" s="21" t="n">
        <v>450</v>
      </c>
      <c r="J5" s="21" t="n">
        <v>1</v>
      </c>
      <c r="K5" s="25">
        <f>基準値!$C$8</f>
        <v/>
      </c>
      <c r="L5" s="23">
        <f t="array" ref="L5:L304">IF((F5:F304="")+(J5:J304="")+(K5:K304=""),"",IF(F5:F304="①収益貢献",I5:I304-H5:H304,H5:H304-I5:I304)*J5:J304*K5:K304)</f>
        <v/>
      </c>
      <c r="M5" s="24">
        <f t="array" ref="M5:M304">IF(L5:L304="","",基準値!$C$22)</f>
        <v/>
      </c>
      <c r="N5" s="24">
        <f t="array" ref="N5:N304">IF(L5:L304="","",IF(G5:G304="削減時間のみ",基準値!$C$23,1))</f>
        <v/>
      </c>
      <c r="O5" s="23">
        <f t="array" ref="O5:O304">IF(L5:L304="","",L5:L304*M5:M304*N5:N304)</f>
        <v/>
      </c>
      <c r="P5" s="23">
        <f t="array" ref="P5:P304">IF(O5:O304="","",IF(O5:O304&gt;基準値!$C$24,基準値!$C$24,O5:O304))</f>
        <v/>
      </c>
      <c r="Q5" s="19" t="inlineStr">
        <is>
          <t>承認済</t>
        </is>
      </c>
      <c r="R5" s="19" t="inlineStr">
        <is>
          <t>山本</t>
        </is>
      </c>
      <c r="S5" s="20" t="inlineStr">
        <is>
          <t>媒体管理画面の応募数(9月→10月)</t>
        </is>
      </c>
    </row>
    <row r="6">
      <c r="A6" s="17" t="n">
        <v>46300</v>
      </c>
      <c r="B6" s="18" t="n"/>
      <c r="C6" s="19" t="inlineStr">
        <is>
          <t>営業事務</t>
        </is>
      </c>
      <c r="D6" s="19" t="inlineStr">
        <is>
          <t>佐藤</t>
        </is>
      </c>
      <c r="E6" s="20" t="inlineStr">
        <is>
          <t>見積入力のテンプレ化</t>
        </is>
      </c>
      <c r="F6" s="19" t="inlineStr">
        <is>
          <t>③時間創出</t>
        </is>
      </c>
      <c r="G6" s="19" t="inlineStr">
        <is>
          <t>削減時間のみ</t>
        </is>
      </c>
      <c r="H6" s="21" t="n">
        <v>0.5</v>
      </c>
      <c r="I6" s="21" t="n">
        <v>0.2</v>
      </c>
      <c r="J6" s="21" t="n">
        <v>80</v>
      </c>
      <c r="K6" s="25">
        <f>基準値!$C$13</f>
        <v/>
      </c>
      <c r="L6" s="23" t="n"/>
      <c r="M6" s="24" t="n"/>
      <c r="N6" s="24" t="n"/>
      <c r="O6" s="23" t="n"/>
      <c r="P6" s="23" t="n"/>
      <c r="Q6" s="19" t="inlineStr">
        <is>
          <t>承認済</t>
        </is>
      </c>
      <c r="R6" s="19" t="inlineStr">
        <is>
          <t>山本</t>
        </is>
      </c>
      <c r="S6" s="20" t="inlineStr">
        <is>
          <t>作業ログ(1件30分→12分)</t>
        </is>
      </c>
    </row>
    <row r="7">
      <c r="A7" s="17" t="n">
        <v>46302</v>
      </c>
      <c r="B7" s="18" t="n"/>
      <c r="C7" s="19" t="inlineStr">
        <is>
          <t>総務</t>
        </is>
      </c>
      <c r="D7" s="19" t="inlineStr">
        <is>
          <t>鈴木</t>
        </is>
      </c>
      <c r="E7" s="20" t="inlineStr">
        <is>
          <t>通信契約の見直し</t>
        </is>
      </c>
      <c r="F7" s="19" t="inlineStr">
        <is>
          <t>②コスト削減</t>
        </is>
      </c>
      <c r="G7" s="19" t="inlineStr">
        <is>
          <t>実現済</t>
        </is>
      </c>
      <c r="H7" s="21" t="n">
        <v>30000</v>
      </c>
      <c r="I7" s="21" t="n">
        <v>22000</v>
      </c>
      <c r="J7" s="21" t="n">
        <v>12</v>
      </c>
      <c r="K7" s="22" t="n">
        <v>1</v>
      </c>
      <c r="L7" s="23" t="n"/>
      <c r="M7" s="24" t="n"/>
      <c r="N7" s="24" t="n"/>
      <c r="O7" s="23" t="n"/>
      <c r="P7" s="23" t="n"/>
      <c r="Q7" s="19" t="inlineStr">
        <is>
          <t>承認済</t>
        </is>
      </c>
      <c r="R7" s="19" t="inlineStr">
        <is>
          <t>山本</t>
        </is>
      </c>
      <c r="S7" s="20" t="inlineStr">
        <is>
          <t>契約書・請求書</t>
        </is>
      </c>
    </row>
  </sheetData>
  <autoFilter ref="A4:S304"/>
  <conditionalFormatting sqref="P5:P304">
    <cfRule type="expression" priority="1" dxfId="0">
      <formula>AND(ISNUMBER($O5),$O5&gt;基準値!$C$24)</formula>
    </cfRule>
  </conditionalFormatting>
  <conditionalFormatting sqref="Q5:Q304">
    <cfRule type="expression" priority="2" dxfId="1">
      <formula>$Q5="差戻し"</formula>
    </cfRule>
    <cfRule type="expression" priority="3" dxfId="2">
      <formula>AND($A5&lt;&gt;"",$Q5&lt;&gt;"承認済")</formula>
    </cfRule>
  </conditionalFormatting>
  <dataValidations count="6">
    <dataValidation sqref="C5:C304" showDropDown="0" showInputMessage="0" showErrorMessage="1" allowBlank="1" error="マスタシートの選択肢から選んでください" type="list">
      <formula1>=マスタ!$B$5:$B$14</formula1>
    </dataValidation>
    <dataValidation sqref="D5:D304" showDropDown="0" showInputMessage="0" showErrorMessage="1" allowBlank="1" error="マスタシートの選択肢から選んでください" type="list">
      <formula1>=マスタ!$D$5:$D$34</formula1>
    </dataValidation>
    <dataValidation sqref="F5:F304" showDropDown="0" showInputMessage="0" showErrorMessage="1" allowBlank="1" error="マスタシートの選択肢から選んでください" type="list">
      <formula1>=マスタ!$G$5:$G$8</formula1>
    </dataValidation>
    <dataValidation sqref="G5:G304" showDropDown="0" showInputMessage="0" showErrorMessage="1" allowBlank="1" error="マスタシートの選択肢から選んでください" type="list">
      <formula1>=マスタ!$I$5:$I$6</formula1>
    </dataValidation>
    <dataValidation sqref="Q5:Q304" showDropDown="0" showInputMessage="0" showErrorMessage="1" allowBlank="1" error="マスタシートの選択肢から選んでください" type="list">
      <formula1>=マスタ!$K$5:$K$7</formula1>
    </dataValidation>
    <dataValidation sqref="A5:A304" showDropDown="0" showInputMessage="0" showErrorMessage="1" allowBlank="1" error="日付を入力してください(例: 2026/10/01)" type="date" operator="greaterThan">
      <formula1>DATE(2000,1,1)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3" customWidth="1" min="12" max="12"/>
  </cols>
  <sheetData>
    <row r="1">
      <c r="A1" s="2" t="inlineStr">
        <is>
          <t>運用部ファネル(月次)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8" t="inlineStr">
        <is>
          <t>青字=入力。数字は仮の値。応募単価と応募1件の粗利を出し、基準値の検証に使う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2" customHeight="1">
      <c r="A4" s="14" t="inlineStr">
        <is>
          <t>月</t>
        </is>
      </c>
      <c r="B4" s="14" t="inlineStr">
        <is>
          <t>掲載数</t>
        </is>
      </c>
      <c r="C4" s="14" t="inlineStr">
        <is>
          <t>応募数</t>
        </is>
      </c>
      <c r="D4" s="14" t="inlineStr">
        <is>
          <t>面談数</t>
        </is>
      </c>
      <c r="E4" s="14" t="inlineStr">
        <is>
          <t>成約数</t>
        </is>
      </c>
      <c r="F4" s="14" t="inlineStr">
        <is>
          <t>粗利(円)</t>
        </is>
      </c>
      <c r="G4" s="14" t="inlineStr">
        <is>
          <t>媒体費(円)</t>
        </is>
      </c>
      <c r="H4" s="14" t="inlineStr">
        <is>
          <t>掲載1件あたり応募数</t>
        </is>
      </c>
      <c r="I4" s="14" t="inlineStr">
        <is>
          <t>面談率(面談÷応募)</t>
        </is>
      </c>
      <c r="J4" s="14" t="inlineStr">
        <is>
          <t>成約率(成約÷面談)</t>
        </is>
      </c>
      <c r="K4" s="14" t="inlineStr">
        <is>
          <t>応募単価(円)</t>
        </is>
      </c>
      <c r="L4" s="14" t="inlineStr">
        <is>
          <t>応募1件の粗利(円)</t>
        </is>
      </c>
    </row>
    <row r="5">
      <c r="A5" s="26" t="n">
        <v>46143</v>
      </c>
      <c r="B5" s="27" t="n">
        <v>300</v>
      </c>
      <c r="C5" s="27" t="n">
        <v>1700</v>
      </c>
      <c r="D5" s="27" t="n">
        <v>640</v>
      </c>
      <c r="E5" s="27" t="n">
        <v>128</v>
      </c>
      <c r="F5" s="28" t="n">
        <v>5400000</v>
      </c>
      <c r="G5" s="28" t="n">
        <v>900000</v>
      </c>
      <c r="H5" s="29">
        <f t="array" ref="H5:H28">IF((C5:C28="")+(B5:B28=""),"",IF(B5:B28=0,0,C5:C28/B5:B28))</f>
        <v/>
      </c>
      <c r="I5" s="30">
        <f t="array" ref="I5:I28">IF((D5:D28="")+(C5:C28=""),"",IF(C5:C28=0,0,D5:D28/C5:C28))</f>
        <v/>
      </c>
      <c r="J5" s="30">
        <f t="array" ref="J5:J28">IF((E5:E28="")+(D5:D28=""),"",IF(D5:D28=0,0,E5:E28/D5:D28))</f>
        <v/>
      </c>
      <c r="K5" s="31">
        <f t="array" ref="K5:K28">IF((G5:G28="")+(C5:C28=""),"",IF(C5:C28=0,0,G5:G28/C5:C28))</f>
        <v/>
      </c>
      <c r="L5" s="31">
        <f t="array" ref="L5:L28">IF((F5:F28="")+(C5:C28=""),"",IF(C5:C28=0,0,F5:F28/C5:C28))</f>
        <v/>
      </c>
    </row>
    <row r="6">
      <c r="A6" s="26" t="n">
        <v>46174</v>
      </c>
      <c r="B6" s="27" t="n">
        <v>320</v>
      </c>
      <c r="C6" s="27" t="n">
        <v>1800</v>
      </c>
      <c r="D6" s="27" t="n">
        <v>700</v>
      </c>
      <c r="E6" s="27" t="n">
        <v>135</v>
      </c>
      <c r="F6" s="28" t="n">
        <v>5700000</v>
      </c>
      <c r="G6" s="28" t="n">
        <v>950000</v>
      </c>
      <c r="H6" s="29" t="n"/>
      <c r="I6" s="30" t="n"/>
      <c r="J6" s="30" t="n"/>
      <c r="K6" s="31" t="n"/>
      <c r="L6" s="31" t="n"/>
    </row>
    <row r="7">
      <c r="A7" s="26" t="n">
        <v>46204</v>
      </c>
      <c r="B7" s="27" t="n">
        <v>310</v>
      </c>
      <c r="C7" s="27" t="n">
        <v>1850</v>
      </c>
      <c r="D7" s="27" t="n">
        <v>690</v>
      </c>
      <c r="E7" s="27" t="n">
        <v>140</v>
      </c>
      <c r="F7" s="28" t="n">
        <v>5800000</v>
      </c>
      <c r="G7" s="28" t="n">
        <v>950000</v>
      </c>
      <c r="H7" s="29" t="n"/>
      <c r="I7" s="30" t="n"/>
      <c r="J7" s="30" t="n"/>
      <c r="K7" s="31" t="n"/>
      <c r="L7" s="31" t="n"/>
    </row>
    <row r="8">
      <c r="A8" s="26" t="n">
        <v>46235</v>
      </c>
      <c r="B8" s="27" t="n">
        <v>330</v>
      </c>
      <c r="C8" s="27" t="n">
        <v>1900</v>
      </c>
      <c r="D8" s="27" t="n">
        <v>720</v>
      </c>
      <c r="E8" s="27" t="n">
        <v>142</v>
      </c>
      <c r="F8" s="28" t="n">
        <v>5900000</v>
      </c>
      <c r="G8" s="28" t="n">
        <v>1000000</v>
      </c>
      <c r="H8" s="29" t="n"/>
      <c r="I8" s="30" t="n"/>
      <c r="J8" s="30" t="n"/>
      <c r="K8" s="31" t="n"/>
      <c r="L8" s="31" t="n"/>
    </row>
    <row r="9">
      <c r="A9" s="26" t="n">
        <v>46266</v>
      </c>
      <c r="B9" s="27" t="n">
        <v>340</v>
      </c>
      <c r="C9" s="27" t="n">
        <v>2000</v>
      </c>
      <c r="D9" s="27" t="n">
        <v>760</v>
      </c>
      <c r="E9" s="27" t="n">
        <v>150</v>
      </c>
      <c r="F9" s="28" t="n">
        <v>6000000</v>
      </c>
      <c r="G9" s="28" t="n">
        <v>1000000</v>
      </c>
      <c r="H9" s="29" t="n"/>
      <c r="I9" s="30" t="n"/>
      <c r="J9" s="30" t="n"/>
      <c r="K9" s="31" t="n"/>
      <c r="L9" s="31" t="n"/>
    </row>
    <row r="10">
      <c r="A10" s="26" t="n">
        <v>46296</v>
      </c>
      <c r="B10" s="27" t="n">
        <v>350</v>
      </c>
      <c r="C10" s="27" t="n"/>
      <c r="D10" s="27" t="n"/>
      <c r="E10" s="27" t="n"/>
      <c r="F10" s="28" t="n"/>
      <c r="G10" s="28" t="n"/>
      <c r="H10" s="29" t="n"/>
      <c r="I10" s="30" t="n"/>
      <c r="J10" s="30" t="n"/>
      <c r="K10" s="31" t="n"/>
      <c r="L10" s="31" t="n"/>
    </row>
    <row r="11">
      <c r="A11" s="26" t="n"/>
      <c r="B11" s="27" t="n"/>
      <c r="C11" s="27" t="n"/>
      <c r="D11" s="27" t="n"/>
      <c r="E11" s="27" t="n"/>
      <c r="F11" s="28" t="n"/>
      <c r="G11" s="28" t="n"/>
      <c r="H11" s="29" t="n"/>
      <c r="I11" s="30" t="n"/>
      <c r="J11" s="30" t="n"/>
      <c r="K11" s="31" t="n"/>
      <c r="L11" s="31" t="n"/>
    </row>
    <row r="12">
      <c r="A12" s="26" t="n"/>
      <c r="B12" s="27" t="n"/>
      <c r="C12" s="27" t="n"/>
      <c r="D12" s="27" t="n"/>
      <c r="E12" s="27" t="n"/>
      <c r="F12" s="28" t="n"/>
      <c r="G12" s="28" t="n"/>
      <c r="H12" s="29" t="n"/>
      <c r="I12" s="30" t="n"/>
      <c r="J12" s="30" t="n"/>
      <c r="K12" s="31" t="n"/>
      <c r="L12" s="31" t="n"/>
    </row>
    <row r="13">
      <c r="A13" s="26" t="n"/>
      <c r="B13" s="27" t="n"/>
      <c r="C13" s="27" t="n"/>
      <c r="D13" s="27" t="n"/>
      <c r="E13" s="27" t="n"/>
      <c r="F13" s="28" t="n"/>
      <c r="G13" s="28" t="n"/>
      <c r="H13" s="29" t="n"/>
      <c r="I13" s="30" t="n"/>
      <c r="J13" s="30" t="n"/>
      <c r="K13" s="31" t="n"/>
      <c r="L13" s="31" t="n"/>
    </row>
    <row r="14">
      <c r="A14" s="26" t="n"/>
      <c r="B14" s="27" t="n"/>
      <c r="C14" s="27" t="n"/>
      <c r="D14" s="27" t="n"/>
      <c r="E14" s="27" t="n"/>
      <c r="F14" s="28" t="n"/>
      <c r="G14" s="28" t="n"/>
      <c r="H14" s="29" t="n"/>
      <c r="I14" s="30" t="n"/>
      <c r="J14" s="30" t="n"/>
      <c r="K14" s="31" t="n"/>
      <c r="L14" s="31" t="n"/>
    </row>
    <row r="15">
      <c r="A15" s="26" t="n"/>
      <c r="B15" s="27" t="n"/>
      <c r="C15" s="27" t="n"/>
      <c r="D15" s="27" t="n"/>
      <c r="E15" s="27" t="n"/>
      <c r="F15" s="28" t="n"/>
      <c r="G15" s="28" t="n"/>
      <c r="H15" s="29" t="n"/>
      <c r="I15" s="30" t="n"/>
      <c r="J15" s="30" t="n"/>
      <c r="K15" s="31" t="n"/>
      <c r="L15" s="31" t="n"/>
    </row>
    <row r="16">
      <c r="A16" s="26" t="n"/>
      <c r="B16" s="27" t="n"/>
      <c r="C16" s="27" t="n"/>
      <c r="D16" s="27" t="n"/>
      <c r="E16" s="27" t="n"/>
      <c r="F16" s="28" t="n"/>
      <c r="G16" s="28" t="n"/>
      <c r="H16" s="29" t="n"/>
      <c r="I16" s="30" t="n"/>
      <c r="J16" s="30" t="n"/>
      <c r="K16" s="31" t="n"/>
      <c r="L16" s="31" t="n"/>
    </row>
    <row r="17">
      <c r="A17" s="26" t="n"/>
      <c r="B17" s="27" t="n"/>
      <c r="C17" s="27" t="n"/>
      <c r="D17" s="27" t="n"/>
      <c r="E17" s="27" t="n"/>
      <c r="F17" s="28" t="n"/>
      <c r="G17" s="28" t="n"/>
      <c r="H17" s="29" t="n"/>
      <c r="I17" s="30" t="n"/>
      <c r="J17" s="30" t="n"/>
      <c r="K17" s="31" t="n"/>
      <c r="L17" s="31" t="n"/>
    </row>
    <row r="18">
      <c r="A18" s="26" t="n"/>
      <c r="B18" s="27" t="n"/>
      <c r="C18" s="27" t="n"/>
      <c r="D18" s="27" t="n"/>
      <c r="E18" s="27" t="n"/>
      <c r="F18" s="28" t="n"/>
      <c r="G18" s="28" t="n"/>
      <c r="H18" s="29" t="n"/>
      <c r="I18" s="30" t="n"/>
      <c r="J18" s="30" t="n"/>
      <c r="K18" s="31" t="n"/>
      <c r="L18" s="31" t="n"/>
    </row>
    <row r="19">
      <c r="A19" s="26" t="n"/>
      <c r="B19" s="27" t="n"/>
      <c r="C19" s="27" t="n"/>
      <c r="D19" s="27" t="n"/>
      <c r="E19" s="27" t="n"/>
      <c r="F19" s="28" t="n"/>
      <c r="G19" s="28" t="n"/>
      <c r="H19" s="29" t="n"/>
      <c r="I19" s="30" t="n"/>
      <c r="J19" s="30" t="n"/>
      <c r="K19" s="31" t="n"/>
      <c r="L19" s="31" t="n"/>
    </row>
    <row r="20">
      <c r="A20" s="26" t="n"/>
      <c r="B20" s="27" t="n"/>
      <c r="C20" s="27" t="n"/>
      <c r="D20" s="27" t="n"/>
      <c r="E20" s="27" t="n"/>
      <c r="F20" s="28" t="n"/>
      <c r="G20" s="28" t="n"/>
      <c r="H20" s="29" t="n"/>
      <c r="I20" s="30" t="n"/>
      <c r="J20" s="30" t="n"/>
      <c r="K20" s="31" t="n"/>
      <c r="L20" s="31" t="n"/>
    </row>
    <row r="21">
      <c r="A21" s="26" t="n"/>
      <c r="B21" s="27" t="n"/>
      <c r="C21" s="27" t="n"/>
      <c r="D21" s="27" t="n"/>
      <c r="E21" s="27" t="n"/>
      <c r="F21" s="28" t="n"/>
      <c r="G21" s="28" t="n"/>
      <c r="H21" s="29" t="n"/>
      <c r="I21" s="30" t="n"/>
      <c r="J21" s="30" t="n"/>
      <c r="K21" s="31" t="n"/>
      <c r="L21" s="31" t="n"/>
    </row>
    <row r="22">
      <c r="A22" s="26" t="n"/>
      <c r="B22" s="27" t="n"/>
      <c r="C22" s="27" t="n"/>
      <c r="D22" s="27" t="n"/>
      <c r="E22" s="27" t="n"/>
      <c r="F22" s="28" t="n"/>
      <c r="G22" s="28" t="n"/>
      <c r="H22" s="29" t="n"/>
      <c r="I22" s="30" t="n"/>
      <c r="J22" s="30" t="n"/>
      <c r="K22" s="31" t="n"/>
      <c r="L22" s="31" t="n"/>
    </row>
    <row r="23">
      <c r="A23" s="26" t="n"/>
      <c r="B23" s="27" t="n"/>
      <c r="C23" s="27" t="n"/>
      <c r="D23" s="27" t="n"/>
      <c r="E23" s="27" t="n"/>
      <c r="F23" s="28" t="n"/>
      <c r="G23" s="28" t="n"/>
      <c r="H23" s="29" t="n"/>
      <c r="I23" s="30" t="n"/>
      <c r="J23" s="30" t="n"/>
      <c r="K23" s="31" t="n"/>
      <c r="L23" s="31" t="n"/>
    </row>
    <row r="24">
      <c r="A24" s="26" t="n"/>
      <c r="B24" s="27" t="n"/>
      <c r="C24" s="27" t="n"/>
      <c r="D24" s="27" t="n"/>
      <c r="E24" s="27" t="n"/>
      <c r="F24" s="28" t="n"/>
      <c r="G24" s="28" t="n"/>
      <c r="H24" s="29" t="n"/>
      <c r="I24" s="30" t="n"/>
      <c r="J24" s="30" t="n"/>
      <c r="K24" s="31" t="n"/>
      <c r="L24" s="31" t="n"/>
    </row>
    <row r="25">
      <c r="A25" s="26" t="n"/>
      <c r="B25" s="27" t="n"/>
      <c r="C25" s="27" t="n"/>
      <c r="D25" s="27" t="n"/>
      <c r="E25" s="27" t="n"/>
      <c r="F25" s="28" t="n"/>
      <c r="G25" s="28" t="n"/>
      <c r="H25" s="29" t="n"/>
      <c r="I25" s="30" t="n"/>
      <c r="J25" s="30" t="n"/>
      <c r="K25" s="31" t="n"/>
      <c r="L25" s="31" t="n"/>
    </row>
    <row r="26">
      <c r="A26" s="26" t="n"/>
      <c r="B26" s="27" t="n"/>
      <c r="C26" s="27" t="n"/>
      <c r="D26" s="27" t="n"/>
      <c r="E26" s="27" t="n"/>
      <c r="F26" s="28" t="n"/>
      <c r="G26" s="28" t="n"/>
      <c r="H26" s="29" t="n"/>
      <c r="I26" s="30" t="n"/>
      <c r="J26" s="30" t="n"/>
      <c r="K26" s="31" t="n"/>
      <c r="L26" s="31" t="n"/>
    </row>
    <row r="27">
      <c r="A27" s="26" t="n"/>
      <c r="B27" s="27" t="n"/>
      <c r="C27" s="27" t="n"/>
      <c r="D27" s="27" t="n"/>
      <c r="E27" s="27" t="n"/>
      <c r="F27" s="28" t="n"/>
      <c r="G27" s="28" t="n"/>
      <c r="H27" s="29" t="n"/>
      <c r="I27" s="30" t="n"/>
      <c r="J27" s="30" t="n"/>
      <c r="K27" s="31" t="n"/>
      <c r="L27" s="31" t="n"/>
    </row>
    <row r="28">
      <c r="A28" s="26" t="n"/>
      <c r="B28" s="27" t="n"/>
      <c r="C28" s="27" t="n"/>
      <c r="D28" s="27" t="n"/>
      <c r="E28" s="27" t="n"/>
      <c r="F28" s="28" t="n"/>
      <c r="G28" s="28" t="n"/>
      <c r="H28" s="29" t="n"/>
      <c r="I28" s="30" t="n"/>
      <c r="J28" s="30" t="n"/>
      <c r="K28" s="31" t="n"/>
      <c r="L28" s="3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1">
      <c r="A1" s="2" t="inlineStr">
        <is>
          <t>月次集計</t>
        </is>
      </c>
      <c r="B1" s="1" t="n"/>
      <c r="C1" s="1" t="n"/>
      <c r="D1" s="1" t="n"/>
      <c r="E1" s="1" t="n"/>
      <c r="F1" s="1" t="n"/>
    </row>
    <row r="2">
      <c r="A2" s="8" t="inlineStr">
        <is>
          <t>対象月に月の1日を入れると、効果額記録のうち承認済の行を集計する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32" t="inlineStr">
        <is>
          <t>対象月</t>
        </is>
      </c>
      <c r="B4" s="13" t="n">
        <v>46296</v>
      </c>
      <c r="C4" s="1" t="n"/>
      <c r="D4" s="1" t="n"/>
      <c r="E4" s="1" t="n"/>
      <c r="F4" s="1" t="n"/>
    </row>
    <row r="5">
      <c r="A5" s="32" t="inlineStr">
        <is>
          <t>未承認・差戻しの件数</t>
        </is>
      </c>
      <c r="B5" s="16">
        <f>COUNTIFS(効果額記録!$B:$B,$B$4,効果額記録!$Q:$Q,"&lt;&gt;承認済")</f>
        <v/>
      </c>
      <c r="C5" s="8" t="inlineStr">
        <is>
          <t>この件数は下の表に入っていない</t>
        </is>
      </c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4" t="inlineStr">
        <is>
          <t>部署別</t>
        </is>
      </c>
      <c r="B7" s="5" t="n"/>
      <c r="C7" s="5" t="n"/>
      <c r="D7" s="5" t="n"/>
      <c r="E7" s="5" t="n"/>
      <c r="F7" s="5" t="n"/>
    </row>
    <row r="8">
      <c r="A8" s="14" t="inlineStr">
        <is>
          <t>部署</t>
        </is>
      </c>
      <c r="B8" s="14" t="inlineStr">
        <is>
          <t>件数</t>
        </is>
      </c>
      <c r="C8" s="14" t="inlineStr">
        <is>
          <t>計算効果額(円)</t>
        </is>
      </c>
      <c r="D8" s="14" t="inlineStr">
        <is>
          <t>補正後効果額(円)</t>
        </is>
      </c>
      <c r="E8" s="14" t="inlineStr">
        <is>
          <t>インセンティブ原資(円)</t>
        </is>
      </c>
      <c r="F8" s="1" t="n"/>
    </row>
    <row r="9">
      <c r="A9" s="33">
        <f>IF(マスタ!B5="","",マスタ!B5)</f>
        <v/>
      </c>
      <c r="B9" s="11">
        <f>IF($A9="","",COUNTIFS(効果額記録!$B:$B,$B$4,効果額記録!$Q:$Q,"承認済",効果額記録!$C:$C,$A9))</f>
        <v/>
      </c>
      <c r="C9" s="11">
        <f>IF($A9="","",SUMIFS(効果額記録!$L:$L,効果額記録!$B:$B,$B$4,効果額記録!$Q:$Q,"承認済",効果額記録!$C:$C,$A9))</f>
        <v/>
      </c>
      <c r="D9" s="11">
        <f>IF($A9="","",SUMIFS(効果額記録!$P:$P,効果額記録!$B:$B,$B$4,効果額記録!$Q:$Q,"承認済",効果額記録!$C:$C,$A9))</f>
        <v/>
      </c>
      <c r="E9" s="11">
        <f>IF($A9="","",D9*基準値!$C$25)</f>
        <v/>
      </c>
      <c r="F9" s="1" t="n"/>
    </row>
    <row r="10">
      <c r="A10" s="33">
        <f>IF(マスタ!B6="","",マスタ!B6)</f>
        <v/>
      </c>
      <c r="B10" s="11">
        <f>IF($A10="","",COUNTIFS(効果額記録!$B:$B,$B$4,効果額記録!$Q:$Q,"承認済",効果額記録!$C:$C,$A10))</f>
        <v/>
      </c>
      <c r="C10" s="11">
        <f>IF($A10="","",SUMIFS(効果額記録!$L:$L,効果額記録!$B:$B,$B$4,効果額記録!$Q:$Q,"承認済",効果額記録!$C:$C,$A10))</f>
        <v/>
      </c>
      <c r="D10" s="11">
        <f>IF($A10="","",SUMIFS(効果額記録!$P:$P,効果額記録!$B:$B,$B$4,効果額記録!$Q:$Q,"承認済",効果額記録!$C:$C,$A10))</f>
        <v/>
      </c>
      <c r="E10" s="11">
        <f>IF($A10="","",D10*基準値!$C$25)</f>
        <v/>
      </c>
      <c r="F10" s="1" t="n"/>
    </row>
    <row r="11">
      <c r="A11" s="33">
        <f>IF(マスタ!B7="","",マスタ!B7)</f>
        <v/>
      </c>
      <c r="B11" s="11">
        <f>IF($A11="","",COUNTIFS(効果額記録!$B:$B,$B$4,効果額記録!$Q:$Q,"承認済",効果額記録!$C:$C,$A11))</f>
        <v/>
      </c>
      <c r="C11" s="11">
        <f>IF($A11="","",SUMIFS(効果額記録!$L:$L,効果額記録!$B:$B,$B$4,効果額記録!$Q:$Q,"承認済",効果額記録!$C:$C,$A11))</f>
        <v/>
      </c>
      <c r="D11" s="11">
        <f>IF($A11="","",SUMIFS(効果額記録!$P:$P,効果額記録!$B:$B,$B$4,効果額記録!$Q:$Q,"承認済",効果額記録!$C:$C,$A11))</f>
        <v/>
      </c>
      <c r="E11" s="11">
        <f>IF($A11="","",D11*基準値!$C$25)</f>
        <v/>
      </c>
      <c r="F11" s="1" t="n"/>
    </row>
    <row r="12">
      <c r="A12" s="33">
        <f>IF(マスタ!B8="","",マスタ!B8)</f>
        <v/>
      </c>
      <c r="B12" s="11">
        <f>IF($A12="","",COUNTIFS(効果額記録!$B:$B,$B$4,効果額記録!$Q:$Q,"承認済",効果額記録!$C:$C,$A12))</f>
        <v/>
      </c>
      <c r="C12" s="11">
        <f>IF($A12="","",SUMIFS(効果額記録!$L:$L,効果額記録!$B:$B,$B$4,効果額記録!$Q:$Q,"承認済",効果額記録!$C:$C,$A12))</f>
        <v/>
      </c>
      <c r="D12" s="11">
        <f>IF($A12="","",SUMIFS(効果額記録!$P:$P,効果額記録!$B:$B,$B$4,効果額記録!$Q:$Q,"承認済",効果額記録!$C:$C,$A12))</f>
        <v/>
      </c>
      <c r="E12" s="11">
        <f>IF($A12="","",D12*基準値!$C$25)</f>
        <v/>
      </c>
      <c r="F12" s="1" t="n"/>
    </row>
    <row r="13">
      <c r="A13" s="33">
        <f>IF(マスタ!B9="","",マスタ!B9)</f>
        <v/>
      </c>
      <c r="B13" s="11">
        <f>IF($A13="","",COUNTIFS(効果額記録!$B:$B,$B$4,効果額記録!$Q:$Q,"承認済",効果額記録!$C:$C,$A13))</f>
        <v/>
      </c>
      <c r="C13" s="11">
        <f>IF($A13="","",SUMIFS(効果額記録!$L:$L,効果額記録!$B:$B,$B$4,効果額記録!$Q:$Q,"承認済",効果額記録!$C:$C,$A13))</f>
        <v/>
      </c>
      <c r="D13" s="11">
        <f>IF($A13="","",SUMIFS(効果額記録!$P:$P,効果額記録!$B:$B,$B$4,効果額記録!$Q:$Q,"承認済",効果額記録!$C:$C,$A13))</f>
        <v/>
      </c>
      <c r="E13" s="11">
        <f>IF($A13="","",D13*基準値!$C$25)</f>
        <v/>
      </c>
      <c r="F13" s="1" t="n"/>
    </row>
    <row r="14">
      <c r="A14" s="33">
        <f>IF(マスタ!B10="","",マスタ!B10)</f>
        <v/>
      </c>
      <c r="B14" s="11">
        <f>IF($A14="","",COUNTIFS(効果額記録!$B:$B,$B$4,効果額記録!$Q:$Q,"承認済",効果額記録!$C:$C,$A14))</f>
        <v/>
      </c>
      <c r="C14" s="11">
        <f>IF($A14="","",SUMIFS(効果額記録!$L:$L,効果額記録!$B:$B,$B$4,効果額記録!$Q:$Q,"承認済",効果額記録!$C:$C,$A14))</f>
        <v/>
      </c>
      <c r="D14" s="11">
        <f>IF($A14="","",SUMIFS(効果額記録!$P:$P,効果額記録!$B:$B,$B$4,効果額記録!$Q:$Q,"承認済",効果額記録!$C:$C,$A14))</f>
        <v/>
      </c>
      <c r="E14" s="11">
        <f>IF($A14="","",D14*基準値!$C$25)</f>
        <v/>
      </c>
      <c r="F14" s="1" t="n"/>
    </row>
    <row r="15">
      <c r="A15" s="33">
        <f>IF(マスタ!B11="","",マスタ!B11)</f>
        <v/>
      </c>
      <c r="B15" s="11">
        <f>IF($A15="","",COUNTIFS(効果額記録!$B:$B,$B$4,効果額記録!$Q:$Q,"承認済",効果額記録!$C:$C,$A15))</f>
        <v/>
      </c>
      <c r="C15" s="11">
        <f>IF($A15="","",SUMIFS(効果額記録!$L:$L,効果額記録!$B:$B,$B$4,効果額記録!$Q:$Q,"承認済",効果額記録!$C:$C,$A15))</f>
        <v/>
      </c>
      <c r="D15" s="11">
        <f>IF($A15="","",SUMIFS(効果額記録!$P:$P,効果額記録!$B:$B,$B$4,効果額記録!$Q:$Q,"承認済",効果額記録!$C:$C,$A15))</f>
        <v/>
      </c>
      <c r="E15" s="11">
        <f>IF($A15="","",D15*基準値!$C$25)</f>
        <v/>
      </c>
      <c r="F15" s="1" t="n"/>
    </row>
    <row r="16">
      <c r="A16" s="33">
        <f>IF(マスタ!B12="","",マスタ!B12)</f>
        <v/>
      </c>
      <c r="B16" s="11">
        <f>IF($A16="","",COUNTIFS(効果額記録!$B:$B,$B$4,効果額記録!$Q:$Q,"承認済",効果額記録!$C:$C,$A16))</f>
        <v/>
      </c>
      <c r="C16" s="11">
        <f>IF($A16="","",SUMIFS(効果額記録!$L:$L,効果額記録!$B:$B,$B$4,効果額記録!$Q:$Q,"承認済",効果額記録!$C:$C,$A16))</f>
        <v/>
      </c>
      <c r="D16" s="11">
        <f>IF($A16="","",SUMIFS(効果額記録!$P:$P,効果額記録!$B:$B,$B$4,効果額記録!$Q:$Q,"承認済",効果額記録!$C:$C,$A16))</f>
        <v/>
      </c>
      <c r="E16" s="11">
        <f>IF($A16="","",D16*基準値!$C$25)</f>
        <v/>
      </c>
      <c r="F16" s="1" t="n"/>
    </row>
    <row r="17">
      <c r="A17" s="33">
        <f>IF(マスタ!B13="","",マスタ!B13)</f>
        <v/>
      </c>
      <c r="B17" s="11">
        <f>IF($A17="","",COUNTIFS(効果額記録!$B:$B,$B$4,効果額記録!$Q:$Q,"承認済",効果額記録!$C:$C,$A17))</f>
        <v/>
      </c>
      <c r="C17" s="11">
        <f>IF($A17="","",SUMIFS(効果額記録!$L:$L,効果額記録!$B:$B,$B$4,効果額記録!$Q:$Q,"承認済",効果額記録!$C:$C,$A17))</f>
        <v/>
      </c>
      <c r="D17" s="11">
        <f>IF($A17="","",SUMIFS(効果額記録!$P:$P,効果額記録!$B:$B,$B$4,効果額記録!$Q:$Q,"承認済",効果額記録!$C:$C,$A17))</f>
        <v/>
      </c>
      <c r="E17" s="11">
        <f>IF($A17="","",D17*基準値!$C$25)</f>
        <v/>
      </c>
      <c r="F17" s="1" t="n"/>
    </row>
    <row r="18">
      <c r="A18" s="33">
        <f>IF(マスタ!B14="","",マスタ!B14)</f>
        <v/>
      </c>
      <c r="B18" s="11">
        <f>IF($A18="","",COUNTIFS(効果額記録!$B:$B,$B$4,効果額記録!$Q:$Q,"承認済",効果額記録!$C:$C,$A18))</f>
        <v/>
      </c>
      <c r="C18" s="11">
        <f>IF($A18="","",SUMIFS(効果額記録!$L:$L,効果額記録!$B:$B,$B$4,効果額記録!$Q:$Q,"承認済",効果額記録!$C:$C,$A18))</f>
        <v/>
      </c>
      <c r="D18" s="11">
        <f>IF($A18="","",SUMIFS(効果額記録!$P:$P,効果額記録!$B:$B,$B$4,効果額記録!$Q:$Q,"承認済",効果額記録!$C:$C,$A18))</f>
        <v/>
      </c>
      <c r="E18" s="11">
        <f>IF($A18="","",D18*基準値!$C$25)</f>
        <v/>
      </c>
      <c r="F18" s="1" t="n"/>
    </row>
    <row r="19">
      <c r="A19" s="34" t="inlineStr">
        <is>
          <t>合計</t>
        </is>
      </c>
      <c r="B19" s="35">
        <f>SUM(B9:B18)</f>
        <v/>
      </c>
      <c r="C19" s="35">
        <f>SUM(C9:C18)</f>
        <v/>
      </c>
      <c r="D19" s="35">
        <f>SUM(D9:D18)</f>
        <v/>
      </c>
      <c r="E19" s="35">
        <f>SUM(E9:E18)</f>
        <v/>
      </c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4" t="inlineStr">
        <is>
          <t>効果種別</t>
        </is>
      </c>
      <c r="B21" s="5" t="n"/>
      <c r="C21" s="5" t="n"/>
      <c r="D21" s="5" t="n"/>
      <c r="E21" s="5" t="n"/>
      <c r="F21" s="5" t="n"/>
    </row>
    <row r="22">
      <c r="A22" s="14" t="inlineStr">
        <is>
          <t>効果種別</t>
        </is>
      </c>
      <c r="B22" s="14" t="inlineStr">
        <is>
          <t>件数</t>
        </is>
      </c>
      <c r="C22" s="14" t="inlineStr">
        <is>
          <t>計算効果額(円)</t>
        </is>
      </c>
      <c r="D22" s="14" t="inlineStr">
        <is>
          <t>補正後効果額(円)</t>
        </is>
      </c>
      <c r="E22" s="14" t="inlineStr">
        <is>
          <t>インセンティブ原資(円)</t>
        </is>
      </c>
      <c r="F22" s="1" t="n"/>
    </row>
    <row r="23">
      <c r="A23" s="33">
        <f>マスタ!G5</f>
        <v/>
      </c>
      <c r="B23" s="11">
        <f>COUNTIFS(効果額記録!$B:$B,$B$4,効果額記録!$Q:$Q,"承認済",効果額記録!$F:$F,$A23)</f>
        <v/>
      </c>
      <c r="C23" s="11">
        <f>SUMIFS(効果額記録!$L:$L,効果額記録!$B:$B,$B$4,効果額記録!$Q:$Q,"承認済",効果額記録!$F:$F,$A23)</f>
        <v/>
      </c>
      <c r="D23" s="11">
        <f>SUMIFS(効果額記録!$P:$P,効果額記録!$B:$B,$B$4,効果額記録!$Q:$Q,"承認済",効果額記録!$F:$F,$A23)</f>
        <v/>
      </c>
      <c r="E23" s="11">
        <f>D23*基準値!$C$25</f>
        <v/>
      </c>
      <c r="F23" s="1" t="n"/>
    </row>
    <row r="24">
      <c r="A24" s="33">
        <f>マスタ!G6</f>
        <v/>
      </c>
      <c r="B24" s="11">
        <f>COUNTIFS(効果額記録!$B:$B,$B$4,効果額記録!$Q:$Q,"承認済",効果額記録!$F:$F,$A24)</f>
        <v/>
      </c>
      <c r="C24" s="11">
        <f>SUMIFS(効果額記録!$L:$L,効果額記録!$B:$B,$B$4,効果額記録!$Q:$Q,"承認済",効果額記録!$F:$F,$A24)</f>
        <v/>
      </c>
      <c r="D24" s="11">
        <f>SUMIFS(効果額記録!$P:$P,効果額記録!$B:$B,$B$4,効果額記録!$Q:$Q,"承認済",効果額記録!$F:$F,$A24)</f>
        <v/>
      </c>
      <c r="E24" s="11">
        <f>D24*基準値!$C$25</f>
        <v/>
      </c>
      <c r="F24" s="1" t="n"/>
    </row>
    <row r="25">
      <c r="A25" s="33">
        <f>マスタ!G7</f>
        <v/>
      </c>
      <c r="B25" s="11">
        <f>COUNTIFS(効果額記録!$B:$B,$B$4,効果額記録!$Q:$Q,"承認済",効果額記録!$F:$F,$A25)</f>
        <v/>
      </c>
      <c r="C25" s="11">
        <f>SUMIFS(効果額記録!$L:$L,効果額記録!$B:$B,$B$4,効果額記録!$Q:$Q,"承認済",効果額記録!$F:$F,$A25)</f>
        <v/>
      </c>
      <c r="D25" s="11">
        <f>SUMIFS(効果額記録!$P:$P,効果額記録!$B:$B,$B$4,効果額記録!$Q:$Q,"承認済",効果額記録!$F:$F,$A25)</f>
        <v/>
      </c>
      <c r="E25" s="11">
        <f>D25*基準値!$C$25</f>
        <v/>
      </c>
      <c r="F25" s="1" t="n"/>
    </row>
    <row r="26">
      <c r="A26" s="33">
        <f>マスタ!G8</f>
        <v/>
      </c>
      <c r="B26" s="11">
        <f>COUNTIFS(効果額記録!$B:$B,$B$4,効果額記録!$Q:$Q,"承認済",効果額記録!$F:$F,$A26)</f>
        <v/>
      </c>
      <c r="C26" s="11">
        <f>SUMIFS(効果額記録!$L:$L,効果額記録!$B:$B,$B$4,効果額記録!$Q:$Q,"承認済",効果額記録!$F:$F,$A26)</f>
        <v/>
      </c>
      <c r="D26" s="11">
        <f>SUMIFS(効果額記録!$P:$P,効果額記録!$B:$B,$B$4,効果額記録!$Q:$Q,"承認済",効果額記録!$F:$F,$A26)</f>
        <v/>
      </c>
      <c r="E26" s="11">
        <f>D26*基準値!$C$25</f>
        <v/>
      </c>
      <c r="F26" s="1" t="n"/>
    </row>
    <row r="27">
      <c r="A27" s="34" t="inlineStr">
        <is>
          <t>合計</t>
        </is>
      </c>
      <c r="B27" s="35">
        <f>SUM(B23:B26)</f>
        <v/>
      </c>
      <c r="C27" s="35">
        <f>SUM(C23:C26)</f>
        <v/>
      </c>
      <c r="D27" s="35">
        <f>SUM(D23:D26)</f>
        <v/>
      </c>
      <c r="E27" s="35">
        <f>SUM(E23:E26)</f>
        <v/>
      </c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4" t="inlineStr">
        <is>
          <t>担当者別</t>
        </is>
      </c>
      <c r="B29" s="5" t="n"/>
      <c r="C29" s="5" t="n"/>
      <c r="D29" s="5" t="n"/>
      <c r="E29" s="5" t="n"/>
      <c r="F29" s="5" t="n"/>
    </row>
    <row r="30">
      <c r="A30" s="14" t="inlineStr">
        <is>
          <t>担当者</t>
        </is>
      </c>
      <c r="B30" s="14" t="inlineStr">
        <is>
          <t>所属部署</t>
        </is>
      </c>
      <c r="C30" s="14" t="inlineStr">
        <is>
          <t>件数</t>
        </is>
      </c>
      <c r="D30" s="14" t="inlineStr">
        <is>
          <t>計算効果額(円)</t>
        </is>
      </c>
      <c r="E30" s="14" t="inlineStr">
        <is>
          <t>補正後効果額(円)</t>
        </is>
      </c>
      <c r="F30" s="14" t="inlineStr">
        <is>
          <t>インセンティブ原資(円)</t>
        </is>
      </c>
    </row>
    <row r="31">
      <c r="A31" s="33">
        <f>IF(マスタ!D5="","",マスタ!D5)</f>
        <v/>
      </c>
      <c r="B31" s="33">
        <f>IF(マスタ!E5="","",マスタ!E5)</f>
        <v/>
      </c>
      <c r="C31" s="11">
        <f>IF($A31="","",COUNTIFS(効果額記録!$B:$B,$B$4,効果額記録!$Q:$Q,"承認済",効果額記録!$D:$D,$A31))</f>
        <v/>
      </c>
      <c r="D31" s="11">
        <f>IF($A31="","",SUMIFS(効果額記録!$L:$L,効果額記録!$B:$B,$B$4,効果額記録!$Q:$Q,"承認済",効果額記録!$D:$D,$A31))</f>
        <v/>
      </c>
      <c r="E31" s="11">
        <f>IF($A31="","",SUMIFS(効果額記録!$P:$P,効果額記録!$B:$B,$B$4,効果額記録!$Q:$Q,"承認済",効果額記録!$D:$D,$A31))</f>
        <v/>
      </c>
      <c r="F31" s="11">
        <f>IF($A31="","",E31*基準値!$C$25)</f>
        <v/>
      </c>
    </row>
    <row r="32">
      <c r="A32" s="33">
        <f>IF(マスタ!D6="","",マスタ!D6)</f>
        <v/>
      </c>
      <c r="B32" s="33">
        <f>IF(マスタ!E6="","",マスタ!E6)</f>
        <v/>
      </c>
      <c r="C32" s="11">
        <f>IF($A32="","",COUNTIFS(効果額記録!$B:$B,$B$4,効果額記録!$Q:$Q,"承認済",効果額記録!$D:$D,$A32))</f>
        <v/>
      </c>
      <c r="D32" s="11">
        <f>IF($A32="","",SUMIFS(効果額記録!$L:$L,効果額記録!$B:$B,$B$4,効果額記録!$Q:$Q,"承認済",効果額記録!$D:$D,$A32))</f>
        <v/>
      </c>
      <c r="E32" s="11">
        <f>IF($A32="","",SUMIFS(効果額記録!$P:$P,効果額記録!$B:$B,$B$4,効果額記録!$Q:$Q,"承認済",効果額記録!$D:$D,$A32))</f>
        <v/>
      </c>
      <c r="F32" s="11">
        <f>IF($A32="","",E32*基準値!$C$25)</f>
        <v/>
      </c>
    </row>
    <row r="33">
      <c r="A33" s="33">
        <f>IF(マスタ!D7="","",マスタ!D7)</f>
        <v/>
      </c>
      <c r="B33" s="33">
        <f>IF(マスタ!E7="","",マスタ!E7)</f>
        <v/>
      </c>
      <c r="C33" s="11">
        <f>IF($A33="","",COUNTIFS(効果額記録!$B:$B,$B$4,効果額記録!$Q:$Q,"承認済",効果額記録!$D:$D,$A33))</f>
        <v/>
      </c>
      <c r="D33" s="11">
        <f>IF($A33="","",SUMIFS(効果額記録!$L:$L,効果額記録!$B:$B,$B$4,効果額記録!$Q:$Q,"承認済",効果額記録!$D:$D,$A33))</f>
        <v/>
      </c>
      <c r="E33" s="11">
        <f>IF($A33="","",SUMIFS(効果額記録!$P:$P,効果額記録!$B:$B,$B$4,効果額記録!$Q:$Q,"承認済",効果額記録!$D:$D,$A33))</f>
        <v/>
      </c>
      <c r="F33" s="11">
        <f>IF($A33="","",E33*基準値!$C$25)</f>
        <v/>
      </c>
    </row>
    <row r="34">
      <c r="A34" s="33">
        <f>IF(マスタ!D8="","",マスタ!D8)</f>
        <v/>
      </c>
      <c r="B34" s="33">
        <f>IF(マスタ!E8="","",マスタ!E8)</f>
        <v/>
      </c>
      <c r="C34" s="11">
        <f>IF($A34="","",COUNTIFS(効果額記録!$B:$B,$B$4,効果額記録!$Q:$Q,"承認済",効果額記録!$D:$D,$A34))</f>
        <v/>
      </c>
      <c r="D34" s="11">
        <f>IF($A34="","",SUMIFS(効果額記録!$L:$L,効果額記録!$B:$B,$B$4,効果額記録!$Q:$Q,"承認済",効果額記録!$D:$D,$A34))</f>
        <v/>
      </c>
      <c r="E34" s="11">
        <f>IF($A34="","",SUMIFS(効果額記録!$P:$P,効果額記録!$B:$B,$B$4,効果額記録!$Q:$Q,"承認済",効果額記録!$D:$D,$A34))</f>
        <v/>
      </c>
      <c r="F34" s="11">
        <f>IF($A34="","",E34*基準値!$C$25)</f>
        <v/>
      </c>
    </row>
    <row r="35">
      <c r="A35" s="33">
        <f>IF(マスタ!D9="","",マスタ!D9)</f>
        <v/>
      </c>
      <c r="B35" s="33">
        <f>IF(マスタ!E9="","",マスタ!E9)</f>
        <v/>
      </c>
      <c r="C35" s="11">
        <f>IF($A35="","",COUNTIFS(効果額記録!$B:$B,$B$4,効果額記録!$Q:$Q,"承認済",効果額記録!$D:$D,$A35))</f>
        <v/>
      </c>
      <c r="D35" s="11">
        <f>IF($A35="","",SUMIFS(効果額記録!$L:$L,効果額記録!$B:$B,$B$4,効果額記録!$Q:$Q,"承認済",効果額記録!$D:$D,$A35))</f>
        <v/>
      </c>
      <c r="E35" s="11">
        <f>IF($A35="","",SUMIFS(効果額記録!$P:$P,効果額記録!$B:$B,$B$4,効果額記録!$Q:$Q,"承認済",効果額記録!$D:$D,$A35))</f>
        <v/>
      </c>
      <c r="F35" s="11">
        <f>IF($A35="","",E35*基準値!$C$25)</f>
        <v/>
      </c>
    </row>
    <row r="36">
      <c r="A36" s="33">
        <f>IF(マスタ!D10="","",マスタ!D10)</f>
        <v/>
      </c>
      <c r="B36" s="33">
        <f>IF(マスタ!E10="","",マスタ!E10)</f>
        <v/>
      </c>
      <c r="C36" s="11">
        <f>IF($A36="","",COUNTIFS(効果額記録!$B:$B,$B$4,効果額記録!$Q:$Q,"承認済",効果額記録!$D:$D,$A36))</f>
        <v/>
      </c>
      <c r="D36" s="11">
        <f>IF($A36="","",SUMIFS(効果額記録!$L:$L,効果額記録!$B:$B,$B$4,効果額記録!$Q:$Q,"承認済",効果額記録!$D:$D,$A36))</f>
        <v/>
      </c>
      <c r="E36" s="11">
        <f>IF($A36="","",SUMIFS(効果額記録!$P:$P,効果額記録!$B:$B,$B$4,効果額記録!$Q:$Q,"承認済",効果額記録!$D:$D,$A36))</f>
        <v/>
      </c>
      <c r="F36" s="11">
        <f>IF($A36="","",E36*基準値!$C$25)</f>
        <v/>
      </c>
    </row>
    <row r="37">
      <c r="A37" s="33">
        <f>IF(マスタ!D11="","",マスタ!D11)</f>
        <v/>
      </c>
      <c r="B37" s="33">
        <f>IF(マスタ!E11="","",マスタ!E11)</f>
        <v/>
      </c>
      <c r="C37" s="11">
        <f>IF($A37="","",COUNTIFS(効果額記録!$B:$B,$B$4,効果額記録!$Q:$Q,"承認済",効果額記録!$D:$D,$A37))</f>
        <v/>
      </c>
      <c r="D37" s="11">
        <f>IF($A37="","",SUMIFS(効果額記録!$L:$L,効果額記録!$B:$B,$B$4,効果額記録!$Q:$Q,"承認済",効果額記録!$D:$D,$A37))</f>
        <v/>
      </c>
      <c r="E37" s="11">
        <f>IF($A37="","",SUMIFS(効果額記録!$P:$P,効果額記録!$B:$B,$B$4,効果額記録!$Q:$Q,"承認済",効果額記録!$D:$D,$A37))</f>
        <v/>
      </c>
      <c r="F37" s="11">
        <f>IF($A37="","",E37*基準値!$C$25)</f>
        <v/>
      </c>
    </row>
    <row r="38">
      <c r="A38" s="33">
        <f>IF(マスタ!D12="","",マスタ!D12)</f>
        <v/>
      </c>
      <c r="B38" s="33">
        <f>IF(マスタ!E12="","",マスタ!E12)</f>
        <v/>
      </c>
      <c r="C38" s="11">
        <f>IF($A38="","",COUNTIFS(効果額記録!$B:$B,$B$4,効果額記録!$Q:$Q,"承認済",効果額記録!$D:$D,$A38))</f>
        <v/>
      </c>
      <c r="D38" s="11">
        <f>IF($A38="","",SUMIFS(効果額記録!$L:$L,効果額記録!$B:$B,$B$4,効果額記録!$Q:$Q,"承認済",効果額記録!$D:$D,$A38))</f>
        <v/>
      </c>
      <c r="E38" s="11">
        <f>IF($A38="","",SUMIFS(効果額記録!$P:$P,効果額記録!$B:$B,$B$4,効果額記録!$Q:$Q,"承認済",効果額記録!$D:$D,$A38))</f>
        <v/>
      </c>
      <c r="F38" s="11">
        <f>IF($A38="","",E38*基準値!$C$25)</f>
        <v/>
      </c>
    </row>
    <row r="39">
      <c r="A39" s="33">
        <f>IF(マスタ!D13="","",マスタ!D13)</f>
        <v/>
      </c>
      <c r="B39" s="33">
        <f>IF(マスタ!E13="","",マスタ!E13)</f>
        <v/>
      </c>
      <c r="C39" s="11">
        <f>IF($A39="","",COUNTIFS(効果額記録!$B:$B,$B$4,効果額記録!$Q:$Q,"承認済",効果額記録!$D:$D,$A39))</f>
        <v/>
      </c>
      <c r="D39" s="11">
        <f>IF($A39="","",SUMIFS(効果額記録!$L:$L,効果額記録!$B:$B,$B$4,効果額記録!$Q:$Q,"承認済",効果額記録!$D:$D,$A39))</f>
        <v/>
      </c>
      <c r="E39" s="11">
        <f>IF($A39="","",SUMIFS(効果額記録!$P:$P,効果額記録!$B:$B,$B$4,効果額記録!$Q:$Q,"承認済",効果額記録!$D:$D,$A39))</f>
        <v/>
      </c>
      <c r="F39" s="11">
        <f>IF($A39="","",E39*基準値!$C$25)</f>
        <v/>
      </c>
    </row>
    <row r="40">
      <c r="A40" s="33">
        <f>IF(マスタ!D14="","",マスタ!D14)</f>
        <v/>
      </c>
      <c r="B40" s="33">
        <f>IF(マスタ!E14="","",マスタ!E14)</f>
        <v/>
      </c>
      <c r="C40" s="11">
        <f>IF($A40="","",COUNTIFS(効果額記録!$B:$B,$B$4,効果額記録!$Q:$Q,"承認済",効果額記録!$D:$D,$A40))</f>
        <v/>
      </c>
      <c r="D40" s="11">
        <f>IF($A40="","",SUMIFS(効果額記録!$L:$L,効果額記録!$B:$B,$B$4,効果額記録!$Q:$Q,"承認済",効果額記録!$D:$D,$A40))</f>
        <v/>
      </c>
      <c r="E40" s="11">
        <f>IF($A40="","",SUMIFS(効果額記録!$P:$P,効果額記録!$B:$B,$B$4,効果額記録!$Q:$Q,"承認済",効果額記録!$D:$D,$A40))</f>
        <v/>
      </c>
      <c r="F40" s="11">
        <f>IF($A40="","",E40*基準値!$C$25)</f>
        <v/>
      </c>
    </row>
    <row r="41">
      <c r="A41" s="33">
        <f>IF(マスタ!D15="","",マスタ!D15)</f>
        <v/>
      </c>
      <c r="B41" s="33">
        <f>IF(マスタ!E15="","",マスタ!E15)</f>
        <v/>
      </c>
      <c r="C41" s="11">
        <f>IF($A41="","",COUNTIFS(効果額記録!$B:$B,$B$4,効果額記録!$Q:$Q,"承認済",効果額記録!$D:$D,$A41))</f>
        <v/>
      </c>
      <c r="D41" s="11">
        <f>IF($A41="","",SUMIFS(効果額記録!$L:$L,効果額記録!$B:$B,$B$4,効果額記録!$Q:$Q,"承認済",効果額記録!$D:$D,$A41))</f>
        <v/>
      </c>
      <c r="E41" s="11">
        <f>IF($A41="","",SUMIFS(効果額記録!$P:$P,効果額記録!$B:$B,$B$4,効果額記録!$Q:$Q,"承認済",効果額記録!$D:$D,$A41))</f>
        <v/>
      </c>
      <c r="F41" s="11">
        <f>IF($A41="","",E41*基準値!$C$25)</f>
        <v/>
      </c>
    </row>
    <row r="42">
      <c r="A42" s="33">
        <f>IF(マスタ!D16="","",マスタ!D16)</f>
        <v/>
      </c>
      <c r="B42" s="33">
        <f>IF(マスタ!E16="","",マスタ!E16)</f>
        <v/>
      </c>
      <c r="C42" s="11">
        <f>IF($A42="","",COUNTIFS(効果額記録!$B:$B,$B$4,効果額記録!$Q:$Q,"承認済",効果額記録!$D:$D,$A42))</f>
        <v/>
      </c>
      <c r="D42" s="11">
        <f>IF($A42="","",SUMIFS(効果額記録!$L:$L,効果額記録!$B:$B,$B$4,効果額記録!$Q:$Q,"承認済",効果額記録!$D:$D,$A42))</f>
        <v/>
      </c>
      <c r="E42" s="11">
        <f>IF($A42="","",SUMIFS(効果額記録!$P:$P,効果額記録!$B:$B,$B$4,効果額記録!$Q:$Q,"承認済",効果額記録!$D:$D,$A42))</f>
        <v/>
      </c>
      <c r="F42" s="11">
        <f>IF($A42="","",E42*基準値!$C$25)</f>
        <v/>
      </c>
    </row>
    <row r="43">
      <c r="A43" s="33">
        <f>IF(マスタ!D17="","",マスタ!D17)</f>
        <v/>
      </c>
      <c r="B43" s="33">
        <f>IF(マスタ!E17="","",マスタ!E17)</f>
        <v/>
      </c>
      <c r="C43" s="11">
        <f>IF($A43="","",COUNTIFS(効果額記録!$B:$B,$B$4,効果額記録!$Q:$Q,"承認済",効果額記録!$D:$D,$A43))</f>
        <v/>
      </c>
      <c r="D43" s="11">
        <f>IF($A43="","",SUMIFS(効果額記録!$L:$L,効果額記録!$B:$B,$B$4,効果額記録!$Q:$Q,"承認済",効果額記録!$D:$D,$A43))</f>
        <v/>
      </c>
      <c r="E43" s="11">
        <f>IF($A43="","",SUMIFS(効果額記録!$P:$P,効果額記録!$B:$B,$B$4,効果額記録!$Q:$Q,"承認済",効果額記録!$D:$D,$A43))</f>
        <v/>
      </c>
      <c r="F43" s="11">
        <f>IF($A43="","",E43*基準値!$C$25)</f>
        <v/>
      </c>
    </row>
    <row r="44">
      <c r="A44" s="33">
        <f>IF(マスタ!D18="","",マスタ!D18)</f>
        <v/>
      </c>
      <c r="B44" s="33">
        <f>IF(マスタ!E18="","",マスタ!E18)</f>
        <v/>
      </c>
      <c r="C44" s="11">
        <f>IF($A44="","",COUNTIFS(効果額記録!$B:$B,$B$4,効果額記録!$Q:$Q,"承認済",効果額記録!$D:$D,$A44))</f>
        <v/>
      </c>
      <c r="D44" s="11">
        <f>IF($A44="","",SUMIFS(効果額記録!$L:$L,効果額記録!$B:$B,$B$4,効果額記録!$Q:$Q,"承認済",効果額記録!$D:$D,$A44))</f>
        <v/>
      </c>
      <c r="E44" s="11">
        <f>IF($A44="","",SUMIFS(効果額記録!$P:$P,効果額記録!$B:$B,$B$4,効果額記録!$Q:$Q,"承認済",効果額記録!$D:$D,$A44))</f>
        <v/>
      </c>
      <c r="F44" s="11">
        <f>IF($A44="","",E44*基準値!$C$25)</f>
        <v/>
      </c>
    </row>
    <row r="45">
      <c r="A45" s="33">
        <f>IF(マスタ!D19="","",マスタ!D19)</f>
        <v/>
      </c>
      <c r="B45" s="33">
        <f>IF(マスタ!E19="","",マスタ!E19)</f>
        <v/>
      </c>
      <c r="C45" s="11">
        <f>IF($A45="","",COUNTIFS(効果額記録!$B:$B,$B$4,効果額記録!$Q:$Q,"承認済",効果額記録!$D:$D,$A45))</f>
        <v/>
      </c>
      <c r="D45" s="11">
        <f>IF($A45="","",SUMIFS(効果額記録!$L:$L,効果額記録!$B:$B,$B$4,効果額記録!$Q:$Q,"承認済",効果額記録!$D:$D,$A45))</f>
        <v/>
      </c>
      <c r="E45" s="11">
        <f>IF($A45="","",SUMIFS(効果額記録!$P:$P,効果額記録!$B:$B,$B$4,効果額記録!$Q:$Q,"承認済",効果額記録!$D:$D,$A45))</f>
        <v/>
      </c>
      <c r="F45" s="11">
        <f>IF($A45="","",E45*基準値!$C$25)</f>
        <v/>
      </c>
    </row>
    <row r="46">
      <c r="A46" s="33">
        <f>IF(マスタ!D20="","",マスタ!D20)</f>
        <v/>
      </c>
      <c r="B46" s="33">
        <f>IF(マスタ!E20="","",マスタ!E20)</f>
        <v/>
      </c>
      <c r="C46" s="11">
        <f>IF($A46="","",COUNTIFS(効果額記録!$B:$B,$B$4,効果額記録!$Q:$Q,"承認済",効果額記録!$D:$D,$A46))</f>
        <v/>
      </c>
      <c r="D46" s="11">
        <f>IF($A46="","",SUMIFS(効果額記録!$L:$L,効果額記録!$B:$B,$B$4,効果額記録!$Q:$Q,"承認済",効果額記録!$D:$D,$A46))</f>
        <v/>
      </c>
      <c r="E46" s="11">
        <f>IF($A46="","",SUMIFS(効果額記録!$P:$P,効果額記録!$B:$B,$B$4,効果額記録!$Q:$Q,"承認済",効果額記録!$D:$D,$A46))</f>
        <v/>
      </c>
      <c r="F46" s="11">
        <f>IF($A46="","",E46*基準値!$C$25)</f>
        <v/>
      </c>
    </row>
    <row r="47">
      <c r="A47" s="33">
        <f>IF(マスタ!D21="","",マスタ!D21)</f>
        <v/>
      </c>
      <c r="B47" s="33">
        <f>IF(マスタ!E21="","",マスタ!E21)</f>
        <v/>
      </c>
      <c r="C47" s="11">
        <f>IF($A47="","",COUNTIFS(効果額記録!$B:$B,$B$4,効果額記録!$Q:$Q,"承認済",効果額記録!$D:$D,$A47))</f>
        <v/>
      </c>
      <c r="D47" s="11">
        <f>IF($A47="","",SUMIFS(効果額記録!$L:$L,効果額記録!$B:$B,$B$4,効果額記録!$Q:$Q,"承認済",効果額記録!$D:$D,$A47))</f>
        <v/>
      </c>
      <c r="E47" s="11">
        <f>IF($A47="","",SUMIFS(効果額記録!$P:$P,効果額記録!$B:$B,$B$4,効果額記録!$Q:$Q,"承認済",効果額記録!$D:$D,$A47))</f>
        <v/>
      </c>
      <c r="F47" s="11">
        <f>IF($A47="","",E47*基準値!$C$25)</f>
        <v/>
      </c>
    </row>
    <row r="48">
      <c r="A48" s="33">
        <f>IF(マスタ!D22="","",マスタ!D22)</f>
        <v/>
      </c>
      <c r="B48" s="33">
        <f>IF(マスタ!E22="","",マスタ!E22)</f>
        <v/>
      </c>
      <c r="C48" s="11">
        <f>IF($A48="","",COUNTIFS(効果額記録!$B:$B,$B$4,効果額記録!$Q:$Q,"承認済",効果額記録!$D:$D,$A48))</f>
        <v/>
      </c>
      <c r="D48" s="11">
        <f>IF($A48="","",SUMIFS(効果額記録!$L:$L,効果額記録!$B:$B,$B$4,効果額記録!$Q:$Q,"承認済",効果額記録!$D:$D,$A48))</f>
        <v/>
      </c>
      <c r="E48" s="11">
        <f>IF($A48="","",SUMIFS(効果額記録!$P:$P,効果額記録!$B:$B,$B$4,効果額記録!$Q:$Q,"承認済",効果額記録!$D:$D,$A48))</f>
        <v/>
      </c>
      <c r="F48" s="11">
        <f>IF($A48="","",E48*基準値!$C$25)</f>
        <v/>
      </c>
    </row>
    <row r="49">
      <c r="A49" s="33">
        <f>IF(マスタ!D23="","",マスタ!D23)</f>
        <v/>
      </c>
      <c r="B49" s="33">
        <f>IF(マスタ!E23="","",マスタ!E23)</f>
        <v/>
      </c>
      <c r="C49" s="11">
        <f>IF($A49="","",COUNTIFS(効果額記録!$B:$B,$B$4,効果額記録!$Q:$Q,"承認済",効果額記録!$D:$D,$A49))</f>
        <v/>
      </c>
      <c r="D49" s="11">
        <f>IF($A49="","",SUMIFS(効果額記録!$L:$L,効果額記録!$B:$B,$B$4,効果額記録!$Q:$Q,"承認済",効果額記録!$D:$D,$A49))</f>
        <v/>
      </c>
      <c r="E49" s="11">
        <f>IF($A49="","",SUMIFS(効果額記録!$P:$P,効果額記録!$B:$B,$B$4,効果額記録!$Q:$Q,"承認済",効果額記録!$D:$D,$A49))</f>
        <v/>
      </c>
      <c r="F49" s="11">
        <f>IF($A49="","",E49*基準値!$C$25)</f>
        <v/>
      </c>
    </row>
    <row r="50">
      <c r="A50" s="33">
        <f>IF(マスタ!D24="","",マスタ!D24)</f>
        <v/>
      </c>
      <c r="B50" s="33">
        <f>IF(マスタ!E24="","",マスタ!E24)</f>
        <v/>
      </c>
      <c r="C50" s="11">
        <f>IF($A50="","",COUNTIFS(効果額記録!$B:$B,$B$4,効果額記録!$Q:$Q,"承認済",効果額記録!$D:$D,$A50))</f>
        <v/>
      </c>
      <c r="D50" s="11">
        <f>IF($A50="","",SUMIFS(効果額記録!$L:$L,効果額記録!$B:$B,$B$4,効果額記録!$Q:$Q,"承認済",効果額記録!$D:$D,$A50))</f>
        <v/>
      </c>
      <c r="E50" s="11">
        <f>IF($A50="","",SUMIFS(効果額記録!$P:$P,効果額記録!$B:$B,$B$4,効果額記録!$Q:$Q,"承認済",効果額記録!$D:$D,$A50))</f>
        <v/>
      </c>
      <c r="F50" s="11">
        <f>IF($A50="","",E50*基準値!$C$25)</f>
        <v/>
      </c>
    </row>
    <row r="51">
      <c r="A51" s="33">
        <f>IF(マスタ!D25="","",マスタ!D25)</f>
        <v/>
      </c>
      <c r="B51" s="33">
        <f>IF(マスタ!E25="","",マスタ!E25)</f>
        <v/>
      </c>
      <c r="C51" s="11">
        <f>IF($A51="","",COUNTIFS(効果額記録!$B:$B,$B$4,効果額記録!$Q:$Q,"承認済",効果額記録!$D:$D,$A51))</f>
        <v/>
      </c>
      <c r="D51" s="11">
        <f>IF($A51="","",SUMIFS(効果額記録!$L:$L,効果額記録!$B:$B,$B$4,効果額記録!$Q:$Q,"承認済",効果額記録!$D:$D,$A51))</f>
        <v/>
      </c>
      <c r="E51" s="11">
        <f>IF($A51="","",SUMIFS(効果額記録!$P:$P,効果額記録!$B:$B,$B$4,効果額記録!$Q:$Q,"承認済",効果額記録!$D:$D,$A51))</f>
        <v/>
      </c>
      <c r="F51" s="11">
        <f>IF($A51="","",E51*基準値!$C$25)</f>
        <v/>
      </c>
    </row>
    <row r="52">
      <c r="A52" s="33">
        <f>IF(マスタ!D26="","",マスタ!D26)</f>
        <v/>
      </c>
      <c r="B52" s="33">
        <f>IF(マスタ!E26="","",マスタ!E26)</f>
        <v/>
      </c>
      <c r="C52" s="11">
        <f>IF($A52="","",COUNTIFS(効果額記録!$B:$B,$B$4,効果額記録!$Q:$Q,"承認済",効果額記録!$D:$D,$A52))</f>
        <v/>
      </c>
      <c r="D52" s="11">
        <f>IF($A52="","",SUMIFS(効果額記録!$L:$L,効果額記録!$B:$B,$B$4,効果額記録!$Q:$Q,"承認済",効果額記録!$D:$D,$A52))</f>
        <v/>
      </c>
      <c r="E52" s="11">
        <f>IF($A52="","",SUMIFS(効果額記録!$P:$P,効果額記録!$B:$B,$B$4,効果額記録!$Q:$Q,"承認済",効果額記録!$D:$D,$A52))</f>
        <v/>
      </c>
      <c r="F52" s="11">
        <f>IF($A52="","",E52*基準値!$C$25)</f>
        <v/>
      </c>
    </row>
    <row r="53">
      <c r="A53" s="33">
        <f>IF(マスタ!D27="","",マスタ!D27)</f>
        <v/>
      </c>
      <c r="B53" s="33">
        <f>IF(マスタ!E27="","",マスタ!E27)</f>
        <v/>
      </c>
      <c r="C53" s="11">
        <f>IF($A53="","",COUNTIFS(効果額記録!$B:$B,$B$4,効果額記録!$Q:$Q,"承認済",効果額記録!$D:$D,$A53))</f>
        <v/>
      </c>
      <c r="D53" s="11">
        <f>IF($A53="","",SUMIFS(効果額記録!$L:$L,効果額記録!$B:$B,$B$4,効果額記録!$Q:$Q,"承認済",効果額記録!$D:$D,$A53))</f>
        <v/>
      </c>
      <c r="E53" s="11">
        <f>IF($A53="","",SUMIFS(効果額記録!$P:$P,効果額記録!$B:$B,$B$4,効果額記録!$Q:$Q,"承認済",効果額記録!$D:$D,$A53))</f>
        <v/>
      </c>
      <c r="F53" s="11">
        <f>IF($A53="","",E53*基準値!$C$25)</f>
        <v/>
      </c>
    </row>
    <row r="54">
      <c r="A54" s="33">
        <f>IF(マスタ!D28="","",マスタ!D28)</f>
        <v/>
      </c>
      <c r="B54" s="33">
        <f>IF(マスタ!E28="","",マスタ!E28)</f>
        <v/>
      </c>
      <c r="C54" s="11">
        <f>IF($A54="","",COUNTIFS(効果額記録!$B:$B,$B$4,効果額記録!$Q:$Q,"承認済",効果額記録!$D:$D,$A54))</f>
        <v/>
      </c>
      <c r="D54" s="11">
        <f>IF($A54="","",SUMIFS(効果額記録!$L:$L,効果額記録!$B:$B,$B$4,効果額記録!$Q:$Q,"承認済",効果額記録!$D:$D,$A54))</f>
        <v/>
      </c>
      <c r="E54" s="11">
        <f>IF($A54="","",SUMIFS(効果額記録!$P:$P,効果額記録!$B:$B,$B$4,効果額記録!$Q:$Q,"承認済",効果額記録!$D:$D,$A54))</f>
        <v/>
      </c>
      <c r="F54" s="11">
        <f>IF($A54="","",E54*基準値!$C$25)</f>
        <v/>
      </c>
    </row>
    <row r="55">
      <c r="A55" s="33">
        <f>IF(マスタ!D29="","",マスタ!D29)</f>
        <v/>
      </c>
      <c r="B55" s="33">
        <f>IF(マスタ!E29="","",マスタ!E29)</f>
        <v/>
      </c>
      <c r="C55" s="11">
        <f>IF($A55="","",COUNTIFS(効果額記録!$B:$B,$B$4,効果額記録!$Q:$Q,"承認済",効果額記録!$D:$D,$A55))</f>
        <v/>
      </c>
      <c r="D55" s="11">
        <f>IF($A55="","",SUMIFS(効果額記録!$L:$L,効果額記録!$B:$B,$B$4,効果額記録!$Q:$Q,"承認済",効果額記録!$D:$D,$A55))</f>
        <v/>
      </c>
      <c r="E55" s="11">
        <f>IF($A55="","",SUMIFS(効果額記録!$P:$P,効果額記録!$B:$B,$B$4,効果額記録!$Q:$Q,"承認済",効果額記録!$D:$D,$A55))</f>
        <v/>
      </c>
      <c r="F55" s="11">
        <f>IF($A55="","",E55*基準値!$C$25)</f>
        <v/>
      </c>
    </row>
    <row r="56">
      <c r="A56" s="33">
        <f>IF(マスタ!D30="","",マスタ!D30)</f>
        <v/>
      </c>
      <c r="B56" s="33">
        <f>IF(マスタ!E30="","",マスタ!E30)</f>
        <v/>
      </c>
      <c r="C56" s="11">
        <f>IF($A56="","",COUNTIFS(効果額記録!$B:$B,$B$4,効果額記録!$Q:$Q,"承認済",効果額記録!$D:$D,$A56))</f>
        <v/>
      </c>
      <c r="D56" s="11">
        <f>IF($A56="","",SUMIFS(効果額記録!$L:$L,効果額記録!$B:$B,$B$4,効果額記録!$Q:$Q,"承認済",効果額記録!$D:$D,$A56))</f>
        <v/>
      </c>
      <c r="E56" s="11">
        <f>IF($A56="","",SUMIFS(効果額記録!$P:$P,効果額記録!$B:$B,$B$4,効果額記録!$Q:$Q,"承認済",効果額記録!$D:$D,$A56))</f>
        <v/>
      </c>
      <c r="F56" s="11">
        <f>IF($A56="","",E56*基準値!$C$25)</f>
        <v/>
      </c>
    </row>
    <row r="57">
      <c r="A57" s="33">
        <f>IF(マスタ!D31="","",マスタ!D31)</f>
        <v/>
      </c>
      <c r="B57" s="33">
        <f>IF(マスタ!E31="","",マスタ!E31)</f>
        <v/>
      </c>
      <c r="C57" s="11">
        <f>IF($A57="","",COUNTIFS(効果額記録!$B:$B,$B$4,効果額記録!$Q:$Q,"承認済",効果額記録!$D:$D,$A57))</f>
        <v/>
      </c>
      <c r="D57" s="11">
        <f>IF($A57="","",SUMIFS(効果額記録!$L:$L,効果額記録!$B:$B,$B$4,効果額記録!$Q:$Q,"承認済",効果額記録!$D:$D,$A57))</f>
        <v/>
      </c>
      <c r="E57" s="11">
        <f>IF($A57="","",SUMIFS(効果額記録!$P:$P,効果額記録!$B:$B,$B$4,効果額記録!$Q:$Q,"承認済",効果額記録!$D:$D,$A57))</f>
        <v/>
      </c>
      <c r="F57" s="11">
        <f>IF($A57="","",E57*基準値!$C$25)</f>
        <v/>
      </c>
    </row>
    <row r="58">
      <c r="A58" s="33">
        <f>IF(マスタ!D32="","",マスタ!D32)</f>
        <v/>
      </c>
      <c r="B58" s="33">
        <f>IF(マスタ!E32="","",マスタ!E32)</f>
        <v/>
      </c>
      <c r="C58" s="11">
        <f>IF($A58="","",COUNTIFS(効果額記録!$B:$B,$B$4,効果額記録!$Q:$Q,"承認済",効果額記録!$D:$D,$A58))</f>
        <v/>
      </c>
      <c r="D58" s="11">
        <f>IF($A58="","",SUMIFS(効果額記録!$L:$L,効果額記録!$B:$B,$B$4,効果額記録!$Q:$Q,"承認済",効果額記録!$D:$D,$A58))</f>
        <v/>
      </c>
      <c r="E58" s="11">
        <f>IF($A58="","",SUMIFS(効果額記録!$P:$P,効果額記録!$B:$B,$B$4,効果額記録!$Q:$Q,"承認済",効果額記録!$D:$D,$A58))</f>
        <v/>
      </c>
      <c r="F58" s="11">
        <f>IF($A58="","",E58*基準値!$C$25)</f>
        <v/>
      </c>
    </row>
    <row r="59">
      <c r="A59" s="33">
        <f>IF(マスタ!D33="","",マスタ!D33)</f>
        <v/>
      </c>
      <c r="B59" s="33">
        <f>IF(マスタ!E33="","",マスタ!E33)</f>
        <v/>
      </c>
      <c r="C59" s="11">
        <f>IF($A59="","",COUNTIFS(効果額記録!$B:$B,$B$4,効果額記録!$Q:$Q,"承認済",効果額記録!$D:$D,$A59))</f>
        <v/>
      </c>
      <c r="D59" s="11">
        <f>IF($A59="","",SUMIFS(効果額記録!$L:$L,効果額記録!$B:$B,$B$4,効果額記録!$Q:$Q,"承認済",効果額記録!$D:$D,$A59))</f>
        <v/>
      </c>
      <c r="E59" s="11">
        <f>IF($A59="","",SUMIFS(効果額記録!$P:$P,効果額記録!$B:$B,$B$4,効果額記録!$Q:$Q,"承認済",効果額記録!$D:$D,$A59))</f>
        <v/>
      </c>
      <c r="F59" s="11">
        <f>IF($A59="","",E59*基準値!$C$25)</f>
        <v/>
      </c>
    </row>
    <row r="60">
      <c r="A60" s="33">
        <f>IF(マスタ!D34="","",マスタ!D34)</f>
        <v/>
      </c>
      <c r="B60" s="33">
        <f>IF(マスタ!E34="","",マスタ!E34)</f>
        <v/>
      </c>
      <c r="C60" s="11">
        <f>IF($A60="","",COUNTIFS(効果額記録!$B:$B,$B$4,効果額記録!$Q:$Q,"承認済",効果額記録!$D:$D,$A60))</f>
        <v/>
      </c>
      <c r="D60" s="11">
        <f>IF($A60="","",SUMIFS(効果額記録!$L:$L,効果額記録!$B:$B,$B$4,効果額記録!$Q:$Q,"承認済",効果額記録!$D:$D,$A60))</f>
        <v/>
      </c>
      <c r="E60" s="11">
        <f>IF($A60="","",SUMIFS(効果額記録!$P:$P,効果額記録!$B:$B,$B$4,効果額記録!$Q:$Q,"承認済",効果額記録!$D:$D,$A60))</f>
        <v/>
      </c>
      <c r="F60" s="11">
        <f>IF($A60="","",E60*基準値!$C$25)</f>
        <v/>
      </c>
    </row>
    <row r="61">
      <c r="A61" s="34" t="inlineStr">
        <is>
          <t>合計</t>
        </is>
      </c>
      <c r="B61" s="34" t="n"/>
      <c r="C61" s="35">
        <f>SUM(C31:C60)</f>
        <v/>
      </c>
      <c r="D61" s="35">
        <f>SUM(D31:D60)</f>
        <v/>
      </c>
      <c r="E61" s="35">
        <f>SUM(E31:E60)</f>
        <v/>
      </c>
      <c r="F61" s="35">
        <f>SUM(F31:F60)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2" t="inlineStr">
        <is>
          <t>年間集計(補正後効果額・承認済のみ)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8" t="inlineStr">
        <is>
          <t>開始月は基準値シートの「年間集計の開始月」で変える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4" t="inlineStr">
        <is>
          <t>部署</t>
        </is>
      </c>
      <c r="B4" s="36">
        <f>基準値!$C$28</f>
        <v/>
      </c>
      <c r="C4" s="36">
        <f>EDATE(B4,1)</f>
        <v/>
      </c>
      <c r="D4" s="36">
        <f>EDATE(C4,1)</f>
        <v/>
      </c>
      <c r="E4" s="36">
        <f>EDATE(D4,1)</f>
        <v/>
      </c>
      <c r="F4" s="36">
        <f>EDATE(E4,1)</f>
        <v/>
      </c>
      <c r="G4" s="36">
        <f>EDATE(F4,1)</f>
        <v/>
      </c>
      <c r="H4" s="36">
        <f>EDATE(G4,1)</f>
        <v/>
      </c>
      <c r="I4" s="36">
        <f>EDATE(H4,1)</f>
        <v/>
      </c>
      <c r="J4" s="36">
        <f>EDATE(I4,1)</f>
        <v/>
      </c>
      <c r="K4" s="36">
        <f>EDATE(J4,1)</f>
        <v/>
      </c>
      <c r="L4" s="36">
        <f>EDATE(K4,1)</f>
        <v/>
      </c>
      <c r="M4" s="36">
        <f>EDATE(L4,1)</f>
        <v/>
      </c>
      <c r="N4" s="14" t="inlineStr">
        <is>
          <t>年間合計</t>
        </is>
      </c>
    </row>
    <row r="5">
      <c r="A5" s="37">
        <f>IF(マスタ!B5="","",マスタ!B5)</f>
        <v/>
      </c>
      <c r="B5" s="11">
        <f>IF($A5="","",SUMIFS(効果額記録!$P:$P,効果額記録!$C:$C,$A5,効果額記録!$B:$B,B$4,効果額記録!$Q:$Q,"承認済"))</f>
        <v/>
      </c>
      <c r="C5" s="11">
        <f>IF($A5="","",SUMIFS(効果額記録!$P:$P,効果額記録!$C:$C,$A5,効果額記録!$B:$B,C$4,効果額記録!$Q:$Q,"承認済"))</f>
        <v/>
      </c>
      <c r="D5" s="11">
        <f>IF($A5="","",SUMIFS(効果額記録!$P:$P,効果額記録!$C:$C,$A5,効果額記録!$B:$B,D$4,効果額記録!$Q:$Q,"承認済"))</f>
        <v/>
      </c>
      <c r="E5" s="11">
        <f>IF($A5="","",SUMIFS(効果額記録!$P:$P,効果額記録!$C:$C,$A5,効果額記録!$B:$B,E$4,効果額記録!$Q:$Q,"承認済"))</f>
        <v/>
      </c>
      <c r="F5" s="11">
        <f>IF($A5="","",SUMIFS(効果額記録!$P:$P,効果額記録!$C:$C,$A5,効果額記録!$B:$B,F$4,効果額記録!$Q:$Q,"承認済"))</f>
        <v/>
      </c>
      <c r="G5" s="11">
        <f>IF($A5="","",SUMIFS(効果額記録!$P:$P,効果額記録!$C:$C,$A5,効果額記録!$B:$B,G$4,効果額記録!$Q:$Q,"承認済"))</f>
        <v/>
      </c>
      <c r="H5" s="11">
        <f>IF($A5="","",SUMIFS(効果額記録!$P:$P,効果額記録!$C:$C,$A5,効果額記録!$B:$B,H$4,効果額記録!$Q:$Q,"承認済"))</f>
        <v/>
      </c>
      <c r="I5" s="11">
        <f>IF($A5="","",SUMIFS(効果額記録!$P:$P,効果額記録!$C:$C,$A5,効果額記録!$B:$B,I$4,効果額記録!$Q:$Q,"承認済"))</f>
        <v/>
      </c>
      <c r="J5" s="11">
        <f>IF($A5="","",SUMIFS(効果額記録!$P:$P,効果額記録!$C:$C,$A5,効果額記録!$B:$B,J$4,効果額記録!$Q:$Q,"承認済"))</f>
        <v/>
      </c>
      <c r="K5" s="11">
        <f>IF($A5="","",SUMIFS(効果額記録!$P:$P,効果額記録!$C:$C,$A5,効果額記録!$B:$B,K$4,効果額記録!$Q:$Q,"承認済"))</f>
        <v/>
      </c>
      <c r="L5" s="11">
        <f>IF($A5="","",SUMIFS(効果額記録!$P:$P,効果額記録!$C:$C,$A5,効果額記録!$B:$B,L$4,効果額記録!$Q:$Q,"承認済"))</f>
        <v/>
      </c>
      <c r="M5" s="11">
        <f>IF($A5="","",SUMIFS(効果額記録!$P:$P,効果額記録!$C:$C,$A5,効果額記録!$B:$B,M$4,効果額記録!$Q:$Q,"承認済"))</f>
        <v/>
      </c>
      <c r="N5" s="11">
        <f>IF($A5="","",SUM(B5:M5))</f>
        <v/>
      </c>
    </row>
    <row r="6">
      <c r="A6" s="37">
        <f>IF(マスタ!B6="","",マスタ!B6)</f>
        <v/>
      </c>
      <c r="B6" s="11">
        <f>IF($A6="","",SUMIFS(効果額記録!$P:$P,効果額記録!$C:$C,$A6,効果額記録!$B:$B,B$4,効果額記録!$Q:$Q,"承認済"))</f>
        <v/>
      </c>
      <c r="C6" s="11">
        <f>IF($A6="","",SUMIFS(効果額記録!$P:$P,効果額記録!$C:$C,$A6,効果額記録!$B:$B,C$4,効果額記録!$Q:$Q,"承認済"))</f>
        <v/>
      </c>
      <c r="D6" s="11">
        <f>IF($A6="","",SUMIFS(効果額記録!$P:$P,効果額記録!$C:$C,$A6,効果額記録!$B:$B,D$4,効果額記録!$Q:$Q,"承認済"))</f>
        <v/>
      </c>
      <c r="E6" s="11">
        <f>IF($A6="","",SUMIFS(効果額記録!$P:$P,効果額記録!$C:$C,$A6,効果額記録!$B:$B,E$4,効果額記録!$Q:$Q,"承認済"))</f>
        <v/>
      </c>
      <c r="F6" s="11">
        <f>IF($A6="","",SUMIFS(効果額記録!$P:$P,効果額記録!$C:$C,$A6,効果額記録!$B:$B,F$4,効果額記録!$Q:$Q,"承認済"))</f>
        <v/>
      </c>
      <c r="G6" s="11">
        <f>IF($A6="","",SUMIFS(効果額記録!$P:$P,効果額記録!$C:$C,$A6,効果額記録!$B:$B,G$4,効果額記録!$Q:$Q,"承認済"))</f>
        <v/>
      </c>
      <c r="H6" s="11">
        <f>IF($A6="","",SUMIFS(効果額記録!$P:$P,効果額記録!$C:$C,$A6,効果額記録!$B:$B,H$4,効果額記録!$Q:$Q,"承認済"))</f>
        <v/>
      </c>
      <c r="I6" s="11">
        <f>IF($A6="","",SUMIFS(効果額記録!$P:$P,効果額記録!$C:$C,$A6,効果額記録!$B:$B,I$4,効果額記録!$Q:$Q,"承認済"))</f>
        <v/>
      </c>
      <c r="J6" s="11">
        <f>IF($A6="","",SUMIFS(効果額記録!$P:$P,効果額記録!$C:$C,$A6,効果額記録!$B:$B,J$4,効果額記録!$Q:$Q,"承認済"))</f>
        <v/>
      </c>
      <c r="K6" s="11">
        <f>IF($A6="","",SUMIFS(効果額記録!$P:$P,効果額記録!$C:$C,$A6,効果額記録!$B:$B,K$4,効果額記録!$Q:$Q,"承認済"))</f>
        <v/>
      </c>
      <c r="L6" s="11">
        <f>IF($A6="","",SUMIFS(効果額記録!$P:$P,効果額記録!$C:$C,$A6,効果額記録!$B:$B,L$4,効果額記録!$Q:$Q,"承認済"))</f>
        <v/>
      </c>
      <c r="M6" s="11">
        <f>IF($A6="","",SUMIFS(効果額記録!$P:$P,効果額記録!$C:$C,$A6,効果額記録!$B:$B,M$4,効果額記録!$Q:$Q,"承認済"))</f>
        <v/>
      </c>
      <c r="N6" s="11">
        <f>IF($A6="","",SUM(B6:M6))</f>
        <v/>
      </c>
    </row>
    <row r="7">
      <c r="A7" s="37">
        <f>IF(マスタ!B7="","",マスタ!B7)</f>
        <v/>
      </c>
      <c r="B7" s="11">
        <f>IF($A7="","",SUMIFS(効果額記録!$P:$P,効果額記録!$C:$C,$A7,効果額記録!$B:$B,B$4,効果額記録!$Q:$Q,"承認済"))</f>
        <v/>
      </c>
      <c r="C7" s="11">
        <f>IF($A7="","",SUMIFS(効果額記録!$P:$P,効果額記録!$C:$C,$A7,効果額記録!$B:$B,C$4,効果額記録!$Q:$Q,"承認済"))</f>
        <v/>
      </c>
      <c r="D7" s="11">
        <f>IF($A7="","",SUMIFS(効果額記録!$P:$P,効果額記録!$C:$C,$A7,効果額記録!$B:$B,D$4,効果額記録!$Q:$Q,"承認済"))</f>
        <v/>
      </c>
      <c r="E7" s="11">
        <f>IF($A7="","",SUMIFS(効果額記録!$P:$P,効果額記録!$C:$C,$A7,効果額記録!$B:$B,E$4,効果額記録!$Q:$Q,"承認済"))</f>
        <v/>
      </c>
      <c r="F7" s="11">
        <f>IF($A7="","",SUMIFS(効果額記録!$P:$P,効果額記録!$C:$C,$A7,効果額記録!$B:$B,F$4,効果額記録!$Q:$Q,"承認済"))</f>
        <v/>
      </c>
      <c r="G7" s="11">
        <f>IF($A7="","",SUMIFS(効果額記録!$P:$P,効果額記録!$C:$C,$A7,効果額記録!$B:$B,G$4,効果額記録!$Q:$Q,"承認済"))</f>
        <v/>
      </c>
      <c r="H7" s="11">
        <f>IF($A7="","",SUMIFS(効果額記録!$P:$P,効果額記録!$C:$C,$A7,効果額記録!$B:$B,H$4,効果額記録!$Q:$Q,"承認済"))</f>
        <v/>
      </c>
      <c r="I7" s="11">
        <f>IF($A7="","",SUMIFS(効果額記録!$P:$P,効果額記録!$C:$C,$A7,効果額記録!$B:$B,I$4,効果額記録!$Q:$Q,"承認済"))</f>
        <v/>
      </c>
      <c r="J7" s="11">
        <f>IF($A7="","",SUMIFS(効果額記録!$P:$P,効果額記録!$C:$C,$A7,効果額記録!$B:$B,J$4,効果額記録!$Q:$Q,"承認済"))</f>
        <v/>
      </c>
      <c r="K7" s="11">
        <f>IF($A7="","",SUMIFS(効果額記録!$P:$P,効果額記録!$C:$C,$A7,効果額記録!$B:$B,K$4,効果額記録!$Q:$Q,"承認済"))</f>
        <v/>
      </c>
      <c r="L7" s="11">
        <f>IF($A7="","",SUMIFS(効果額記録!$P:$P,効果額記録!$C:$C,$A7,効果額記録!$B:$B,L$4,効果額記録!$Q:$Q,"承認済"))</f>
        <v/>
      </c>
      <c r="M7" s="11">
        <f>IF($A7="","",SUMIFS(効果額記録!$P:$P,効果額記録!$C:$C,$A7,効果額記録!$B:$B,M$4,効果額記録!$Q:$Q,"承認済"))</f>
        <v/>
      </c>
      <c r="N7" s="11">
        <f>IF($A7="","",SUM(B7:M7))</f>
        <v/>
      </c>
    </row>
    <row r="8">
      <c r="A8" s="37">
        <f>IF(マスタ!B8="","",マスタ!B8)</f>
        <v/>
      </c>
      <c r="B8" s="11">
        <f>IF($A8="","",SUMIFS(効果額記録!$P:$P,効果額記録!$C:$C,$A8,効果額記録!$B:$B,B$4,効果額記録!$Q:$Q,"承認済"))</f>
        <v/>
      </c>
      <c r="C8" s="11">
        <f>IF($A8="","",SUMIFS(効果額記録!$P:$P,効果額記録!$C:$C,$A8,効果額記録!$B:$B,C$4,効果額記録!$Q:$Q,"承認済"))</f>
        <v/>
      </c>
      <c r="D8" s="11">
        <f>IF($A8="","",SUMIFS(効果額記録!$P:$P,効果額記録!$C:$C,$A8,効果額記録!$B:$B,D$4,効果額記録!$Q:$Q,"承認済"))</f>
        <v/>
      </c>
      <c r="E8" s="11">
        <f>IF($A8="","",SUMIFS(効果額記録!$P:$P,効果額記録!$C:$C,$A8,効果額記録!$B:$B,E$4,効果額記録!$Q:$Q,"承認済"))</f>
        <v/>
      </c>
      <c r="F8" s="11">
        <f>IF($A8="","",SUMIFS(効果額記録!$P:$P,効果額記録!$C:$C,$A8,効果額記録!$B:$B,F$4,効果額記録!$Q:$Q,"承認済"))</f>
        <v/>
      </c>
      <c r="G8" s="11">
        <f>IF($A8="","",SUMIFS(効果額記録!$P:$P,効果額記録!$C:$C,$A8,効果額記録!$B:$B,G$4,効果額記録!$Q:$Q,"承認済"))</f>
        <v/>
      </c>
      <c r="H8" s="11">
        <f>IF($A8="","",SUMIFS(効果額記録!$P:$P,効果額記録!$C:$C,$A8,効果額記録!$B:$B,H$4,効果額記録!$Q:$Q,"承認済"))</f>
        <v/>
      </c>
      <c r="I8" s="11">
        <f>IF($A8="","",SUMIFS(効果額記録!$P:$P,効果額記録!$C:$C,$A8,効果額記録!$B:$B,I$4,効果額記録!$Q:$Q,"承認済"))</f>
        <v/>
      </c>
      <c r="J8" s="11">
        <f>IF($A8="","",SUMIFS(効果額記録!$P:$P,効果額記録!$C:$C,$A8,効果額記録!$B:$B,J$4,効果額記録!$Q:$Q,"承認済"))</f>
        <v/>
      </c>
      <c r="K8" s="11">
        <f>IF($A8="","",SUMIFS(効果額記録!$P:$P,効果額記録!$C:$C,$A8,効果額記録!$B:$B,K$4,効果額記録!$Q:$Q,"承認済"))</f>
        <v/>
      </c>
      <c r="L8" s="11">
        <f>IF($A8="","",SUMIFS(効果額記録!$P:$P,効果額記録!$C:$C,$A8,効果額記録!$B:$B,L$4,効果額記録!$Q:$Q,"承認済"))</f>
        <v/>
      </c>
      <c r="M8" s="11">
        <f>IF($A8="","",SUMIFS(効果額記録!$P:$P,効果額記録!$C:$C,$A8,効果額記録!$B:$B,M$4,効果額記録!$Q:$Q,"承認済"))</f>
        <v/>
      </c>
      <c r="N8" s="11">
        <f>IF($A8="","",SUM(B8:M8))</f>
        <v/>
      </c>
    </row>
    <row r="9">
      <c r="A9" s="37">
        <f>IF(マスタ!B9="","",マスタ!B9)</f>
        <v/>
      </c>
      <c r="B9" s="11">
        <f>IF($A9="","",SUMIFS(効果額記録!$P:$P,効果額記録!$C:$C,$A9,効果額記録!$B:$B,B$4,効果額記録!$Q:$Q,"承認済"))</f>
        <v/>
      </c>
      <c r="C9" s="11">
        <f>IF($A9="","",SUMIFS(効果額記録!$P:$P,効果額記録!$C:$C,$A9,効果額記録!$B:$B,C$4,効果額記録!$Q:$Q,"承認済"))</f>
        <v/>
      </c>
      <c r="D9" s="11">
        <f>IF($A9="","",SUMIFS(効果額記録!$P:$P,効果額記録!$C:$C,$A9,効果額記録!$B:$B,D$4,効果額記録!$Q:$Q,"承認済"))</f>
        <v/>
      </c>
      <c r="E9" s="11">
        <f>IF($A9="","",SUMIFS(効果額記録!$P:$P,効果額記録!$C:$C,$A9,効果額記録!$B:$B,E$4,効果額記録!$Q:$Q,"承認済"))</f>
        <v/>
      </c>
      <c r="F9" s="11">
        <f>IF($A9="","",SUMIFS(効果額記録!$P:$P,効果額記録!$C:$C,$A9,効果額記録!$B:$B,F$4,効果額記録!$Q:$Q,"承認済"))</f>
        <v/>
      </c>
      <c r="G9" s="11">
        <f>IF($A9="","",SUMIFS(効果額記録!$P:$P,効果額記録!$C:$C,$A9,効果額記録!$B:$B,G$4,効果額記録!$Q:$Q,"承認済"))</f>
        <v/>
      </c>
      <c r="H9" s="11">
        <f>IF($A9="","",SUMIFS(効果額記録!$P:$P,効果額記録!$C:$C,$A9,効果額記録!$B:$B,H$4,効果額記録!$Q:$Q,"承認済"))</f>
        <v/>
      </c>
      <c r="I9" s="11">
        <f>IF($A9="","",SUMIFS(効果額記録!$P:$P,効果額記録!$C:$C,$A9,効果額記録!$B:$B,I$4,効果額記録!$Q:$Q,"承認済"))</f>
        <v/>
      </c>
      <c r="J9" s="11">
        <f>IF($A9="","",SUMIFS(効果額記録!$P:$P,効果額記録!$C:$C,$A9,効果額記録!$B:$B,J$4,効果額記録!$Q:$Q,"承認済"))</f>
        <v/>
      </c>
      <c r="K9" s="11">
        <f>IF($A9="","",SUMIFS(効果額記録!$P:$P,効果額記録!$C:$C,$A9,効果額記録!$B:$B,K$4,効果額記録!$Q:$Q,"承認済"))</f>
        <v/>
      </c>
      <c r="L9" s="11">
        <f>IF($A9="","",SUMIFS(効果額記録!$P:$P,効果額記録!$C:$C,$A9,効果額記録!$B:$B,L$4,効果額記録!$Q:$Q,"承認済"))</f>
        <v/>
      </c>
      <c r="M9" s="11">
        <f>IF($A9="","",SUMIFS(効果額記録!$P:$P,効果額記録!$C:$C,$A9,効果額記録!$B:$B,M$4,効果額記録!$Q:$Q,"承認済"))</f>
        <v/>
      </c>
      <c r="N9" s="11">
        <f>IF($A9="","",SUM(B9:M9))</f>
        <v/>
      </c>
    </row>
    <row r="10">
      <c r="A10" s="37">
        <f>IF(マスタ!B10="","",マスタ!B10)</f>
        <v/>
      </c>
      <c r="B10" s="11">
        <f>IF($A10="","",SUMIFS(効果額記録!$P:$P,効果額記録!$C:$C,$A10,効果額記録!$B:$B,B$4,効果額記録!$Q:$Q,"承認済"))</f>
        <v/>
      </c>
      <c r="C10" s="11">
        <f>IF($A10="","",SUMIFS(効果額記録!$P:$P,効果額記録!$C:$C,$A10,効果額記録!$B:$B,C$4,効果額記録!$Q:$Q,"承認済"))</f>
        <v/>
      </c>
      <c r="D10" s="11">
        <f>IF($A10="","",SUMIFS(効果額記録!$P:$P,効果額記録!$C:$C,$A10,効果額記録!$B:$B,D$4,効果額記録!$Q:$Q,"承認済"))</f>
        <v/>
      </c>
      <c r="E10" s="11">
        <f>IF($A10="","",SUMIFS(効果額記録!$P:$P,効果額記録!$C:$C,$A10,効果額記録!$B:$B,E$4,効果額記録!$Q:$Q,"承認済"))</f>
        <v/>
      </c>
      <c r="F10" s="11">
        <f>IF($A10="","",SUMIFS(効果額記録!$P:$P,効果額記録!$C:$C,$A10,効果額記録!$B:$B,F$4,効果額記録!$Q:$Q,"承認済"))</f>
        <v/>
      </c>
      <c r="G10" s="11">
        <f>IF($A10="","",SUMIFS(効果額記録!$P:$P,効果額記録!$C:$C,$A10,効果額記録!$B:$B,G$4,効果額記録!$Q:$Q,"承認済"))</f>
        <v/>
      </c>
      <c r="H10" s="11">
        <f>IF($A10="","",SUMIFS(効果額記録!$P:$P,効果額記録!$C:$C,$A10,効果額記録!$B:$B,H$4,効果額記録!$Q:$Q,"承認済"))</f>
        <v/>
      </c>
      <c r="I10" s="11">
        <f>IF($A10="","",SUMIFS(効果額記録!$P:$P,効果額記録!$C:$C,$A10,効果額記録!$B:$B,I$4,効果額記録!$Q:$Q,"承認済"))</f>
        <v/>
      </c>
      <c r="J10" s="11">
        <f>IF($A10="","",SUMIFS(効果額記録!$P:$P,効果額記録!$C:$C,$A10,効果額記録!$B:$B,J$4,効果額記録!$Q:$Q,"承認済"))</f>
        <v/>
      </c>
      <c r="K10" s="11">
        <f>IF($A10="","",SUMIFS(効果額記録!$P:$P,効果額記録!$C:$C,$A10,効果額記録!$B:$B,K$4,効果額記録!$Q:$Q,"承認済"))</f>
        <v/>
      </c>
      <c r="L10" s="11">
        <f>IF($A10="","",SUMIFS(効果額記録!$P:$P,効果額記録!$C:$C,$A10,効果額記録!$B:$B,L$4,効果額記録!$Q:$Q,"承認済"))</f>
        <v/>
      </c>
      <c r="M10" s="11">
        <f>IF($A10="","",SUMIFS(効果額記録!$P:$P,効果額記録!$C:$C,$A10,効果額記録!$B:$B,M$4,効果額記録!$Q:$Q,"承認済"))</f>
        <v/>
      </c>
      <c r="N10" s="11">
        <f>IF($A10="","",SUM(B10:M10))</f>
        <v/>
      </c>
    </row>
    <row r="11">
      <c r="A11" s="37">
        <f>IF(マスタ!B11="","",マスタ!B11)</f>
        <v/>
      </c>
      <c r="B11" s="11">
        <f>IF($A11="","",SUMIFS(効果額記録!$P:$P,効果額記録!$C:$C,$A11,効果額記録!$B:$B,B$4,効果額記録!$Q:$Q,"承認済"))</f>
        <v/>
      </c>
      <c r="C11" s="11">
        <f>IF($A11="","",SUMIFS(効果額記録!$P:$P,効果額記録!$C:$C,$A11,効果額記録!$B:$B,C$4,効果額記録!$Q:$Q,"承認済"))</f>
        <v/>
      </c>
      <c r="D11" s="11">
        <f>IF($A11="","",SUMIFS(効果額記録!$P:$P,効果額記録!$C:$C,$A11,効果額記録!$B:$B,D$4,効果額記録!$Q:$Q,"承認済"))</f>
        <v/>
      </c>
      <c r="E11" s="11">
        <f>IF($A11="","",SUMIFS(効果額記録!$P:$P,効果額記録!$C:$C,$A11,効果額記録!$B:$B,E$4,効果額記録!$Q:$Q,"承認済"))</f>
        <v/>
      </c>
      <c r="F11" s="11">
        <f>IF($A11="","",SUMIFS(効果額記録!$P:$P,効果額記録!$C:$C,$A11,効果額記録!$B:$B,F$4,効果額記録!$Q:$Q,"承認済"))</f>
        <v/>
      </c>
      <c r="G11" s="11">
        <f>IF($A11="","",SUMIFS(効果額記録!$P:$P,効果額記録!$C:$C,$A11,効果額記録!$B:$B,G$4,効果額記録!$Q:$Q,"承認済"))</f>
        <v/>
      </c>
      <c r="H11" s="11">
        <f>IF($A11="","",SUMIFS(効果額記録!$P:$P,効果額記録!$C:$C,$A11,効果額記録!$B:$B,H$4,効果額記録!$Q:$Q,"承認済"))</f>
        <v/>
      </c>
      <c r="I11" s="11">
        <f>IF($A11="","",SUMIFS(効果額記録!$P:$P,効果額記録!$C:$C,$A11,効果額記録!$B:$B,I$4,効果額記録!$Q:$Q,"承認済"))</f>
        <v/>
      </c>
      <c r="J11" s="11">
        <f>IF($A11="","",SUMIFS(効果額記録!$P:$P,効果額記録!$C:$C,$A11,効果額記録!$B:$B,J$4,効果額記録!$Q:$Q,"承認済"))</f>
        <v/>
      </c>
      <c r="K11" s="11">
        <f>IF($A11="","",SUMIFS(効果額記録!$P:$P,効果額記録!$C:$C,$A11,効果額記録!$B:$B,K$4,効果額記録!$Q:$Q,"承認済"))</f>
        <v/>
      </c>
      <c r="L11" s="11">
        <f>IF($A11="","",SUMIFS(効果額記録!$P:$P,効果額記録!$C:$C,$A11,効果額記録!$B:$B,L$4,効果額記録!$Q:$Q,"承認済"))</f>
        <v/>
      </c>
      <c r="M11" s="11">
        <f>IF($A11="","",SUMIFS(効果額記録!$P:$P,効果額記録!$C:$C,$A11,効果額記録!$B:$B,M$4,効果額記録!$Q:$Q,"承認済"))</f>
        <v/>
      </c>
      <c r="N11" s="11">
        <f>IF($A11="","",SUM(B11:M11))</f>
        <v/>
      </c>
    </row>
    <row r="12">
      <c r="A12" s="37">
        <f>IF(マスタ!B12="","",マスタ!B12)</f>
        <v/>
      </c>
      <c r="B12" s="11">
        <f>IF($A12="","",SUMIFS(効果額記録!$P:$P,効果額記録!$C:$C,$A12,効果額記録!$B:$B,B$4,効果額記録!$Q:$Q,"承認済"))</f>
        <v/>
      </c>
      <c r="C12" s="11">
        <f>IF($A12="","",SUMIFS(効果額記録!$P:$P,効果額記録!$C:$C,$A12,効果額記録!$B:$B,C$4,効果額記録!$Q:$Q,"承認済"))</f>
        <v/>
      </c>
      <c r="D12" s="11">
        <f>IF($A12="","",SUMIFS(効果額記録!$P:$P,効果額記録!$C:$C,$A12,効果額記録!$B:$B,D$4,効果額記録!$Q:$Q,"承認済"))</f>
        <v/>
      </c>
      <c r="E12" s="11">
        <f>IF($A12="","",SUMIFS(効果額記録!$P:$P,効果額記録!$C:$C,$A12,効果額記録!$B:$B,E$4,効果額記録!$Q:$Q,"承認済"))</f>
        <v/>
      </c>
      <c r="F12" s="11">
        <f>IF($A12="","",SUMIFS(効果額記録!$P:$P,効果額記録!$C:$C,$A12,効果額記録!$B:$B,F$4,効果額記録!$Q:$Q,"承認済"))</f>
        <v/>
      </c>
      <c r="G12" s="11">
        <f>IF($A12="","",SUMIFS(効果額記録!$P:$P,効果額記録!$C:$C,$A12,効果額記録!$B:$B,G$4,効果額記録!$Q:$Q,"承認済"))</f>
        <v/>
      </c>
      <c r="H12" s="11">
        <f>IF($A12="","",SUMIFS(効果額記録!$P:$P,効果額記録!$C:$C,$A12,効果額記録!$B:$B,H$4,効果額記録!$Q:$Q,"承認済"))</f>
        <v/>
      </c>
      <c r="I12" s="11">
        <f>IF($A12="","",SUMIFS(効果額記録!$P:$P,効果額記録!$C:$C,$A12,効果額記録!$B:$B,I$4,効果額記録!$Q:$Q,"承認済"))</f>
        <v/>
      </c>
      <c r="J12" s="11">
        <f>IF($A12="","",SUMIFS(効果額記録!$P:$P,効果額記録!$C:$C,$A12,効果額記録!$B:$B,J$4,効果額記録!$Q:$Q,"承認済"))</f>
        <v/>
      </c>
      <c r="K12" s="11">
        <f>IF($A12="","",SUMIFS(効果額記録!$P:$P,効果額記録!$C:$C,$A12,効果額記録!$B:$B,K$4,効果額記録!$Q:$Q,"承認済"))</f>
        <v/>
      </c>
      <c r="L12" s="11">
        <f>IF($A12="","",SUMIFS(効果額記録!$P:$P,効果額記録!$C:$C,$A12,効果額記録!$B:$B,L$4,効果額記録!$Q:$Q,"承認済"))</f>
        <v/>
      </c>
      <c r="M12" s="11">
        <f>IF($A12="","",SUMIFS(効果額記録!$P:$P,効果額記録!$C:$C,$A12,効果額記録!$B:$B,M$4,効果額記録!$Q:$Q,"承認済"))</f>
        <v/>
      </c>
      <c r="N12" s="11">
        <f>IF($A12="","",SUM(B12:M12))</f>
        <v/>
      </c>
    </row>
    <row r="13">
      <c r="A13" s="37">
        <f>IF(マスタ!B13="","",マスタ!B13)</f>
        <v/>
      </c>
      <c r="B13" s="11">
        <f>IF($A13="","",SUMIFS(効果額記録!$P:$P,効果額記録!$C:$C,$A13,効果額記録!$B:$B,B$4,効果額記録!$Q:$Q,"承認済"))</f>
        <v/>
      </c>
      <c r="C13" s="11">
        <f>IF($A13="","",SUMIFS(効果額記録!$P:$P,効果額記録!$C:$C,$A13,効果額記録!$B:$B,C$4,効果額記録!$Q:$Q,"承認済"))</f>
        <v/>
      </c>
      <c r="D13" s="11">
        <f>IF($A13="","",SUMIFS(効果額記録!$P:$P,効果額記録!$C:$C,$A13,効果額記録!$B:$B,D$4,効果額記録!$Q:$Q,"承認済"))</f>
        <v/>
      </c>
      <c r="E13" s="11">
        <f>IF($A13="","",SUMIFS(効果額記録!$P:$P,効果額記録!$C:$C,$A13,効果額記録!$B:$B,E$4,効果額記録!$Q:$Q,"承認済"))</f>
        <v/>
      </c>
      <c r="F13" s="11">
        <f>IF($A13="","",SUMIFS(効果額記録!$P:$P,効果額記録!$C:$C,$A13,効果額記録!$B:$B,F$4,効果額記録!$Q:$Q,"承認済"))</f>
        <v/>
      </c>
      <c r="G13" s="11">
        <f>IF($A13="","",SUMIFS(効果額記録!$P:$P,効果額記録!$C:$C,$A13,効果額記録!$B:$B,G$4,効果額記録!$Q:$Q,"承認済"))</f>
        <v/>
      </c>
      <c r="H13" s="11">
        <f>IF($A13="","",SUMIFS(効果額記録!$P:$P,効果額記録!$C:$C,$A13,効果額記録!$B:$B,H$4,効果額記録!$Q:$Q,"承認済"))</f>
        <v/>
      </c>
      <c r="I13" s="11">
        <f>IF($A13="","",SUMIFS(効果額記録!$P:$P,効果額記録!$C:$C,$A13,効果額記録!$B:$B,I$4,効果額記録!$Q:$Q,"承認済"))</f>
        <v/>
      </c>
      <c r="J13" s="11">
        <f>IF($A13="","",SUMIFS(効果額記録!$P:$P,効果額記録!$C:$C,$A13,効果額記録!$B:$B,J$4,効果額記録!$Q:$Q,"承認済"))</f>
        <v/>
      </c>
      <c r="K13" s="11">
        <f>IF($A13="","",SUMIFS(効果額記録!$P:$P,効果額記録!$C:$C,$A13,効果額記録!$B:$B,K$4,効果額記録!$Q:$Q,"承認済"))</f>
        <v/>
      </c>
      <c r="L13" s="11">
        <f>IF($A13="","",SUMIFS(効果額記録!$P:$P,効果額記録!$C:$C,$A13,効果額記録!$B:$B,L$4,効果額記録!$Q:$Q,"承認済"))</f>
        <v/>
      </c>
      <c r="M13" s="11">
        <f>IF($A13="","",SUMIFS(効果額記録!$P:$P,効果額記録!$C:$C,$A13,効果額記録!$B:$B,M$4,効果額記録!$Q:$Q,"承認済"))</f>
        <v/>
      </c>
      <c r="N13" s="11">
        <f>IF($A13="","",SUM(B13:M13))</f>
        <v/>
      </c>
    </row>
    <row r="14">
      <c r="A14" s="37">
        <f>IF(マスタ!B14="","",マスタ!B14)</f>
        <v/>
      </c>
      <c r="B14" s="11">
        <f>IF($A14="","",SUMIFS(効果額記録!$P:$P,効果額記録!$C:$C,$A14,効果額記録!$B:$B,B$4,効果額記録!$Q:$Q,"承認済"))</f>
        <v/>
      </c>
      <c r="C14" s="11">
        <f>IF($A14="","",SUMIFS(効果額記録!$P:$P,効果額記録!$C:$C,$A14,効果額記録!$B:$B,C$4,効果額記録!$Q:$Q,"承認済"))</f>
        <v/>
      </c>
      <c r="D14" s="11">
        <f>IF($A14="","",SUMIFS(効果額記録!$P:$P,効果額記録!$C:$C,$A14,効果額記録!$B:$B,D$4,効果額記録!$Q:$Q,"承認済"))</f>
        <v/>
      </c>
      <c r="E14" s="11">
        <f>IF($A14="","",SUMIFS(効果額記録!$P:$P,効果額記録!$C:$C,$A14,効果額記録!$B:$B,E$4,効果額記録!$Q:$Q,"承認済"))</f>
        <v/>
      </c>
      <c r="F14" s="11">
        <f>IF($A14="","",SUMIFS(効果額記録!$P:$P,効果額記録!$C:$C,$A14,効果額記録!$B:$B,F$4,効果額記録!$Q:$Q,"承認済"))</f>
        <v/>
      </c>
      <c r="G14" s="11">
        <f>IF($A14="","",SUMIFS(効果額記録!$P:$P,効果額記録!$C:$C,$A14,効果額記録!$B:$B,G$4,効果額記録!$Q:$Q,"承認済"))</f>
        <v/>
      </c>
      <c r="H14" s="11">
        <f>IF($A14="","",SUMIFS(効果額記録!$P:$P,効果額記録!$C:$C,$A14,効果額記録!$B:$B,H$4,効果額記録!$Q:$Q,"承認済"))</f>
        <v/>
      </c>
      <c r="I14" s="11">
        <f>IF($A14="","",SUMIFS(効果額記録!$P:$P,効果額記録!$C:$C,$A14,効果額記録!$B:$B,I$4,効果額記録!$Q:$Q,"承認済"))</f>
        <v/>
      </c>
      <c r="J14" s="11">
        <f>IF($A14="","",SUMIFS(効果額記録!$P:$P,効果額記録!$C:$C,$A14,効果額記録!$B:$B,J$4,効果額記録!$Q:$Q,"承認済"))</f>
        <v/>
      </c>
      <c r="K14" s="11">
        <f>IF($A14="","",SUMIFS(効果額記録!$P:$P,効果額記録!$C:$C,$A14,効果額記録!$B:$B,K$4,効果額記録!$Q:$Q,"承認済"))</f>
        <v/>
      </c>
      <c r="L14" s="11">
        <f>IF($A14="","",SUMIFS(効果額記録!$P:$P,効果額記録!$C:$C,$A14,効果額記録!$B:$B,L$4,効果額記録!$Q:$Q,"承認済"))</f>
        <v/>
      </c>
      <c r="M14" s="11">
        <f>IF($A14="","",SUMIFS(効果額記録!$P:$P,効果額記録!$C:$C,$A14,効果額記録!$B:$B,M$4,効果額記録!$Q:$Q,"承認済"))</f>
        <v/>
      </c>
      <c r="N14" s="11">
        <f>IF($A14="","",SUM(B14:M14))</f>
        <v/>
      </c>
    </row>
    <row r="15">
      <c r="A15" s="35" t="inlineStr">
        <is>
          <t>合計</t>
        </is>
      </c>
      <c r="B15" s="35">
        <f>SUM(B5:B14)</f>
        <v/>
      </c>
      <c r="C15" s="35">
        <f>SUM(C5:C14)</f>
        <v/>
      </c>
      <c r="D15" s="35">
        <f>SUM(D5:D14)</f>
        <v/>
      </c>
      <c r="E15" s="35">
        <f>SUM(E5:E14)</f>
        <v/>
      </c>
      <c r="F15" s="35">
        <f>SUM(F5:F14)</f>
        <v/>
      </c>
      <c r="G15" s="35">
        <f>SUM(G5:G14)</f>
        <v/>
      </c>
      <c r="H15" s="35">
        <f>SUM(H5:H14)</f>
        <v/>
      </c>
      <c r="I15" s="35">
        <f>SUM(I5:I14)</f>
        <v/>
      </c>
      <c r="J15" s="35">
        <f>SUM(J5:J14)</f>
        <v/>
      </c>
      <c r="K15" s="35">
        <f>SUM(K5:K14)</f>
        <v/>
      </c>
      <c r="L15" s="35">
        <f>SUM(L5:L14)</f>
        <v/>
      </c>
      <c r="M15" s="35">
        <f>SUM(M5:M14)</f>
        <v/>
      </c>
      <c r="N15" s="35">
        <f>SUM(N5:N14)</f>
        <v/>
      </c>
    </row>
    <row r="16">
      <c r="A16" s="35" t="inlineStr">
        <is>
          <t>インセンティブ原資</t>
        </is>
      </c>
      <c r="B16" s="35">
        <f>B15*基準値!$C$25</f>
        <v/>
      </c>
      <c r="C16" s="35">
        <f>C15*基準値!$C$25</f>
        <v/>
      </c>
      <c r="D16" s="35">
        <f>D15*基準値!$C$25</f>
        <v/>
      </c>
      <c r="E16" s="35">
        <f>E15*基準値!$C$25</f>
        <v/>
      </c>
      <c r="F16" s="35">
        <f>F15*基準値!$C$25</f>
        <v/>
      </c>
      <c r="G16" s="35">
        <f>G15*基準値!$C$25</f>
        <v/>
      </c>
      <c r="H16" s="35">
        <f>H15*基準値!$C$25</f>
        <v/>
      </c>
      <c r="I16" s="35">
        <f>I15*基準値!$C$25</f>
        <v/>
      </c>
      <c r="J16" s="35">
        <f>J15*基準値!$C$25</f>
        <v/>
      </c>
      <c r="K16" s="35">
        <f>K15*基準値!$C$25</f>
        <v/>
      </c>
      <c r="L16" s="35">
        <f>L15*基準値!$C$25</f>
        <v/>
      </c>
      <c r="M16" s="35">
        <f>M15*基準値!$C$25</f>
        <v/>
      </c>
      <c r="N16" s="35">
        <f>N15*基準値!$C$25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24" customWidth="1" min="4" max="4"/>
    <col width="28" customWidth="1" min="5" max="5"/>
    <col width="28" customWidth="1" min="6" max="6"/>
    <col width="2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効果額の4分類と部署別の測り方(例)</t>
        </is>
      </c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4" t="inlineStr">
        <is>
          <t>分類</t>
        </is>
      </c>
      <c r="C4" s="14" t="inlineStr">
        <is>
          <t>意味</t>
        </is>
      </c>
      <c r="D4" s="14" t="inlineStr">
        <is>
          <t>計算の基本形</t>
        </is>
      </c>
      <c r="E4" s="14" t="inlineStr">
        <is>
          <t>運用部の例</t>
        </is>
      </c>
      <c r="F4" s="14" t="inlineStr">
        <is>
          <t>営業事務の例</t>
        </is>
      </c>
      <c r="G4" s="14" t="inlineStr">
        <is>
          <t>総務の例</t>
        </is>
      </c>
    </row>
    <row r="5">
      <c r="A5" s="1" t="n"/>
      <c r="B5" s="38" t="inlineStr">
        <is>
          <t>①収益貢献</t>
        </is>
      </c>
      <c r="C5" s="39" t="inlineStr">
        <is>
          <t>応募・成約が増えた分</t>
        </is>
      </c>
      <c r="D5" s="39" t="inlineStr">
        <is>
          <t>増えた件数 × 1件あたりの粗利</t>
        </is>
      </c>
      <c r="E5" s="39" t="inlineStr">
        <is>
          <t>原稿改善で応募数増 / 掲載枠の最適化</t>
        </is>
      </c>
      <c r="F5" s="39" t="inlineStr">
        <is>
          <t>フォロー漏れ防止による成約数増</t>
        </is>
      </c>
      <c r="G5" s="39" t="inlineStr">
        <is>
          <t>(該当少)</t>
        </is>
      </c>
    </row>
    <row r="6">
      <c r="A6" s="1" t="n"/>
      <c r="B6" s="38" t="inlineStr">
        <is>
          <t>②コスト削減</t>
        </is>
      </c>
      <c r="C6" s="39" t="inlineStr">
        <is>
          <t>媒体費・外注費などが減った分</t>
        </is>
      </c>
      <c r="D6" s="39" t="inlineStr">
        <is>
          <t>削減前の費用 − 削減後の費用</t>
        </is>
      </c>
      <c r="E6" s="39" t="inlineStr">
        <is>
          <t>応募単価(媒体費÷応募数)の改善 / 不要掲載の停止</t>
        </is>
      </c>
      <c r="F6" s="39" t="inlineStr">
        <is>
          <t>外注・消耗品費の削減</t>
        </is>
      </c>
      <c r="G6" s="39" t="inlineStr">
        <is>
          <t>契約見直し / 経費削減</t>
        </is>
      </c>
    </row>
    <row r="7">
      <c r="A7" s="1" t="n"/>
      <c r="B7" s="38" t="inlineStr">
        <is>
          <t>③時間創出</t>
        </is>
      </c>
      <c r="C7" s="39" t="inlineStr">
        <is>
          <t>他の人の作業時間が浮いた分</t>
        </is>
      </c>
      <c r="D7" s="39" t="inlineStr">
        <is>
          <t>浮いた時間 × 時間単価</t>
        </is>
      </c>
      <c r="E7" s="39" t="inlineStr">
        <is>
          <t>掲載作業のテンプレ化・自動化</t>
        </is>
      </c>
      <c r="F7" s="39" t="inlineStr">
        <is>
          <t>営業が電話に使える時間の確保(営業の時間あたり粗利で換算)</t>
        </is>
      </c>
      <c r="G7" s="39" t="inlineStr">
        <is>
          <t>手続きの効率化</t>
        </is>
      </c>
    </row>
    <row r="8">
      <c r="A8" s="1" t="n"/>
      <c r="B8" s="38" t="inlineStr">
        <is>
          <t>④リスク回避</t>
        </is>
      </c>
      <c r="C8" s="39" t="inlineStr">
        <is>
          <t>ミスやトラブルを防いだ分</t>
        </is>
      </c>
      <c r="D8" s="39" t="inlineStr">
        <is>
          <t>想定損失額 × 発生確率の低下分</t>
        </is>
      </c>
      <c r="E8" s="39" t="inlineStr">
        <is>
          <t>掲載ミス・規約違反による掲載停止の防止</t>
        </is>
      </c>
      <c r="F8" s="39" t="inlineStr">
        <is>
          <t>入力ミス・二重連絡の防止</t>
        </is>
      </c>
      <c r="G8" s="39" t="inlineStr">
        <is>
          <t>労務・法務リスクの回避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8" t="inlineStr">
        <is>
          <t>※ 数字にしにくい業務は無理に金額にせず「必須業務」として別枠で扱う。</t>
        </is>
      </c>
      <c r="C10" s="1" t="n"/>
      <c r="D10" s="1" t="n"/>
      <c r="E10" s="1" t="n"/>
      <c r="F10" s="1" t="n"/>
      <c r="G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2026-10-12T00:34:44Z</dcterms:created>
  <dcterms:modified xmlns:dcterms="http://purl.org/dc/terms/" xmlns:xsi="http://www.w3.org/2001/XMLSchema-instance" xsi:type="dcterms:W3CDTF">2026-10-12T00:34:44Z</dcterms:modified>
</cp:coreProperties>
</file>